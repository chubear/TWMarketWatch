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1"/>
  </bookViews>
  <sheets>
    <sheet r:id="rId1" sheetId="1" name="整理"/>
    <sheet r:id="rId2" sheetId="2" name="國內_乖離率"/>
    <sheet r:id="rId3" sheetId="3" name="國外指數乖離率"/>
    <sheet r:id="rId4" sheetId="4" name="國外_本益比"/>
    <sheet r:id="rId5" sheetId="5" name="國內_本益比"/>
    <sheet r:id="rId6" sheetId="6" name="國內_淨值比"/>
    <sheet r:id="rId7" sheetId="7" name="國內擴充_MACD"/>
    <sheet r:id="rId8" sheetId="8" name="國內擴充_DIF"/>
    <sheet r:id="rId9" sheetId="9" name="國內擴充_ADX"/>
    <sheet r:id="rId10" sheetId="10" name="MSCI世界指數"/>
    <sheet r:id="rId11" sheetId="11" name="全球GDP"/>
  </sheets>
  <definedNames>
    <definedName name="\a">#REF!</definedName>
    <definedName name="\p">#REF!</definedName>
    <definedName name="\q">#REF!</definedName>
    <definedName name="\r">#REF!</definedName>
    <definedName name="\s">#REF!</definedName>
    <definedName name="____________WP1">#REF!</definedName>
    <definedName name="__________WP1">#REF!</definedName>
    <definedName name="________WP1">#REF!</definedName>
    <definedName name="_______A5">[1]TSO!#REF!</definedName>
    <definedName name="_______CC1">#REF!</definedName>
    <definedName name="_______CC2">#REF!</definedName>
    <definedName name="_______CC3">#REF!</definedName>
    <definedName name="_______J2">#REF!</definedName>
    <definedName name="_______M1">#REF!</definedName>
    <definedName name="_______P1">[1]TSO!#REF!</definedName>
    <definedName name="_______P2">[1]TSO!#REF!</definedName>
    <definedName name="_______P3">[1]TSO!#REF!</definedName>
    <definedName name="_______P4">[1]TSO!#REF!</definedName>
    <definedName name="_______P5">[1]TSO!#REF!</definedName>
    <definedName name="_______P6">[1]TSO!#REF!</definedName>
    <definedName name="_______T1">#REF!</definedName>
    <definedName name="_______WP1">#REF!</definedName>
    <definedName name="______A2">#REF!</definedName>
    <definedName name="______A5">[1]TSO!#REF!</definedName>
    <definedName name="______CC1">#REF!</definedName>
    <definedName name="______CC2">#REF!</definedName>
    <definedName name="______CC3">#REF!</definedName>
    <definedName name="______J2">#REF!</definedName>
    <definedName name="______M1">#REF!</definedName>
    <definedName name="______P1">[1]TSO!#REF!</definedName>
    <definedName name="______P2">[1]TSO!#REF!</definedName>
    <definedName name="______P3">[1]TSO!#REF!</definedName>
    <definedName name="______P4">[1]TSO!#REF!</definedName>
    <definedName name="______P5">[1]TSO!#REF!</definedName>
    <definedName name="______P6">[1]TSO!#REF!</definedName>
    <definedName name="______T1">#REF!</definedName>
    <definedName name="______WP1">#REF!</definedName>
    <definedName name="_____A2">#REF!</definedName>
    <definedName name="_____A5">[1]TSO!#REF!</definedName>
    <definedName name="_____CC1">#REF!</definedName>
    <definedName name="_____CC2">#REF!</definedName>
    <definedName name="_____CC3">#REF!</definedName>
    <definedName name="_____da3">#REF!</definedName>
    <definedName name="_____J2">#REF!</definedName>
    <definedName name="_____M1">#REF!</definedName>
    <definedName name="_____P1">[1]TSO!#REF!</definedName>
    <definedName name="_____P2">[1]TSO!#REF!</definedName>
    <definedName name="_____P3">[1]TSO!#REF!</definedName>
    <definedName name="_____P4">[1]TSO!#REF!</definedName>
    <definedName name="_____P5">[1]TSO!#REF!</definedName>
    <definedName name="_____P6">[1]TSO!#REF!</definedName>
    <definedName name="_____T1">#REF!</definedName>
    <definedName name="_____WP1">#REF!</definedName>
    <definedName name="____A5">[2]TSO!#REF!</definedName>
    <definedName name="____CC1">#REF!</definedName>
    <definedName name="____CC2">#REF!</definedName>
    <definedName name="____CC3">#REF!</definedName>
    <definedName name="____da3">#REF!</definedName>
    <definedName name="____J2">#REF!</definedName>
    <definedName name="____M1">#REF!</definedName>
    <definedName name="____P1">[2]TSO!#REF!</definedName>
    <definedName name="____P2">[2]TSO!#REF!</definedName>
    <definedName name="____P3">[2]TSO!#REF!</definedName>
    <definedName name="____P4">[2]TSO!#REF!</definedName>
    <definedName name="____P5">[2]TSO!#REF!</definedName>
    <definedName name="____P6">[2]TSO!#REF!</definedName>
    <definedName name="____T1">#REF!</definedName>
    <definedName name="____WP1">#REF!</definedName>
    <definedName name="___A2">#REF!</definedName>
    <definedName name="___A5">[1]TSO!#REF!</definedName>
    <definedName name="___CC1">#REF!</definedName>
    <definedName name="___CC2">#REF!</definedName>
    <definedName name="___CC3">#REF!</definedName>
    <definedName name="___da3">#REF!</definedName>
    <definedName name="___J2">#REF!</definedName>
    <definedName name="___M1">#REF!</definedName>
    <definedName name="___P1">[1]TSO!#REF!</definedName>
    <definedName name="___P2">[1]TSO!#REF!</definedName>
    <definedName name="___P3">[1]TSO!#REF!</definedName>
    <definedName name="___P4">[1]TSO!#REF!</definedName>
    <definedName name="___P5">[1]TSO!#REF!</definedName>
    <definedName name="___P6">[1]TSO!#REF!</definedName>
    <definedName name="___T1">#REF!</definedName>
    <definedName name="___WP1">#REF!</definedName>
    <definedName name="__A2">#REF!</definedName>
    <definedName name="__A5">[1]TSO!#REF!</definedName>
    <definedName name="__CC1">#REF!</definedName>
    <definedName name="__CC2">#REF!</definedName>
    <definedName name="__CC3">#REF!</definedName>
    <definedName name="__da3">#REF!</definedName>
    <definedName name="__J2">#REF!</definedName>
    <definedName name="__M1">#REF!</definedName>
    <definedName name="__P1">[1]TSO!#REF!</definedName>
    <definedName name="__P2">[1]TSO!#REF!</definedName>
    <definedName name="__P3">[1]TSO!#REF!</definedName>
    <definedName name="__P4">[1]TSO!#REF!</definedName>
    <definedName name="__P5">[1]TSO!#REF!</definedName>
    <definedName name="__P6">[1]TSO!#REF!</definedName>
    <definedName name="__T1">#REF!</definedName>
    <definedName name="__WP1">#REF!</definedName>
    <definedName name="_10M1_">#REF!</definedName>
    <definedName name="_11CC1_">#REF!</definedName>
    <definedName name="_11P1_">[1]TSO!#REF!</definedName>
    <definedName name="_11P2_">#REF!</definedName>
    <definedName name="_13P1_">[1]TSO!#REF!</definedName>
    <definedName name="_13P2_">[1]TSO!#REF!</definedName>
    <definedName name="_13P3_">#REF!</definedName>
    <definedName name="_15P3_">[1]TSO!#REF!</definedName>
    <definedName name="_15P4_">#REF!</definedName>
    <definedName name="_16P2_">[1]TSO!#REF!</definedName>
    <definedName name="_17CC2_">#REF!</definedName>
    <definedName name="_17P4_">[1]TSO!#REF!</definedName>
    <definedName name="_17P5_">#REF!</definedName>
    <definedName name="_19P3_">[1]TSO!#REF!</definedName>
    <definedName name="_19P5_">[1]TSO!#REF!</definedName>
    <definedName name="_19P6_">#REF!</definedName>
    <definedName name="_1A2_">#REF!</definedName>
    <definedName name="_2006自營">#REF!</definedName>
    <definedName name="_2006實際">#REF!</definedName>
    <definedName name="_2007目標">#REF!</definedName>
    <definedName name="_2007實際">#REF!</definedName>
    <definedName name="_2008自營目標">[3]績效統計NEW!$F$12:$Q$12</definedName>
    <definedName name="_20T1_">#REF!</definedName>
    <definedName name="_21P6_">[1]TSO!#REF!</definedName>
    <definedName name="_22P4_">[1]TSO!#REF!</definedName>
    <definedName name="_22T1_">#REF!</definedName>
    <definedName name="_23CC3_">#REF!</definedName>
    <definedName name="_24da3_">#REF!</definedName>
    <definedName name="_25P5_">[1]TSO!#REF!</definedName>
    <definedName name="_28P6_">[1]TSO!#REF!</definedName>
    <definedName name="_29T1_">#REF!</definedName>
    <definedName name="_2A5_">#REF!</definedName>
    <definedName name="_30J2_">#REF!</definedName>
    <definedName name="_36M1_">#REF!</definedName>
    <definedName name="_38P1_">[1]TSO!#REF!</definedName>
    <definedName name="_3A2_">#REF!</definedName>
    <definedName name="_3A5_">[1]TSO!#REF!</definedName>
    <definedName name="_3CC1_">#REF!</definedName>
    <definedName name="_40P2_">[1]TSO!#REF!</definedName>
    <definedName name="_42P3_">[1]TSO!#REF!</definedName>
    <definedName name="_44P4_">[1]TSO!#REF!</definedName>
    <definedName name="_46P5_">[1]TSO!#REF!</definedName>
    <definedName name="_48P6_">[1]TSO!#REF!</definedName>
    <definedName name="_4A5_">[1]TSO!#REF!</definedName>
    <definedName name="_4CC1_">#REF!</definedName>
    <definedName name="_4CC2_">#REF!</definedName>
    <definedName name="_54T1_">#REF!</definedName>
    <definedName name="_5A5_">[1]TSO!#REF!</definedName>
    <definedName name="_5CC1_">#REF!</definedName>
    <definedName name="_5CC2_">#REF!</definedName>
    <definedName name="_5CC3_">#REF!</definedName>
    <definedName name="_6CC2_">#REF!</definedName>
    <definedName name="_6CC3_">#REF!</definedName>
    <definedName name="_6J2_">#REF!</definedName>
    <definedName name="_7CC3_">#REF!</definedName>
    <definedName name="_7da3_">#REF!</definedName>
    <definedName name="_7M1_">#REF!</definedName>
    <definedName name="_84">#N/A</definedName>
    <definedName name="_8da3_">#REF!</definedName>
    <definedName name="_8J2_">#REF!</definedName>
    <definedName name="_9J2_">#REF!</definedName>
    <definedName name="_9M1_">#REF!</definedName>
    <definedName name="_9P1_">#REF!</definedName>
    <definedName name="_A2">#REF!</definedName>
    <definedName name="_A5">[1]TSO!#REF!</definedName>
    <definedName name="_CC1">#REF!</definedName>
    <definedName name="_CC2">#REF!</definedName>
    <definedName name="_CC3">#REF!</definedName>
    <definedName name="_da3">#REF!</definedName>
    <definedName name="_J2">#REF!</definedName>
    <definedName name="_Key1">#REF!</definedName>
    <definedName name="_M1">#REF!</definedName>
    <definedName name="_Order1">255</definedName>
    <definedName name="_P1">[1]TSO!#REF!</definedName>
    <definedName name="_P2">[1]TSO!#REF!</definedName>
    <definedName name="_P3">[1]TSO!#REF!</definedName>
    <definedName name="_P4">[1]TSO!#REF!</definedName>
    <definedName name="_P5">[1]TSO!#REF!</definedName>
    <definedName name="_P6">[1]TSO!#REF!</definedName>
    <definedName name="_R1">#N/A</definedName>
    <definedName name="_R2">#N/A</definedName>
    <definedName name="_R3">#N/A</definedName>
    <definedName name="_R4">#N/A</definedName>
    <definedName name="_Sort">#REF!</definedName>
    <definedName name="_T1">#REF!</definedName>
    <definedName name="_WP1">#REF!</definedName>
    <definedName name="a">'[4]資產負債表(列印)'!#REF!</definedName>
    <definedName name="A.D棟中公">[5]公設明細!#REF!</definedName>
    <definedName name="A_6201A">'[6]9401'!#REF!</definedName>
    <definedName name="A_6201A_6601">'[7]9401'!#REF!</definedName>
    <definedName name="A_6201A_6601A_6701">'[7]9401'!#REF!</definedName>
    <definedName name="A_6201A6601">'[7]9401'!#REF!</definedName>
    <definedName name="A_6201A6601A6701">'[7]9401'!#REF!</definedName>
    <definedName name="A_8111">'[7]9401'!#REF!</definedName>
    <definedName name="A1F3">#REF!</definedName>
    <definedName name="A1F4價差">#REF!</definedName>
    <definedName name="A1F5">#REF!</definedName>
    <definedName name="A1F5價差">#REF!</definedName>
    <definedName name="A1F6">#REF!</definedName>
    <definedName name="A1F6價差">#REF!</definedName>
    <definedName name="A1法大">#REF!</definedName>
    <definedName name="A1法小">#REF!</definedName>
    <definedName name="A1法機上">#REF!</definedName>
    <definedName name="A1法機下">#REF!</definedName>
    <definedName name="A1棟">[8]住宅價目!$V$1:$X$2</definedName>
    <definedName name="A1棟6F">[8]住宅價目!$V$37:$X$42</definedName>
    <definedName name="A1棟售">[8]住宅價目!$V$20:$W$21</definedName>
    <definedName name="A1棟售6F">[8]住宅價目!$V$88:$W$93</definedName>
    <definedName name="A1增大">'[9]銷況分析-準則'!$B$42:$F$43</definedName>
    <definedName name="A2法大">#REF!</definedName>
    <definedName name="A2法小">#REF!</definedName>
    <definedName name="A2法機上">#REF!</definedName>
    <definedName name="A2法機下">#REF!</definedName>
    <definedName name="A2棟">[8]住宅價目!$V$3:$X$4</definedName>
    <definedName name="A2棟6F">[8]住宅價目!$V$43:$X$48</definedName>
    <definedName name="A2棟售">[8]住宅價目!$V$22:$W$23</definedName>
    <definedName name="A2棟售6F">[8]住宅價目!$V$94:$W$99</definedName>
    <definedName name="A2獎機上">#REF!</definedName>
    <definedName name="A2獎機下">#REF!</definedName>
    <definedName name="A3法大">#REF!</definedName>
    <definedName name="A3法小">#REF!</definedName>
    <definedName name="A3棟">[8]住宅價目!$V$5:$X$6</definedName>
    <definedName name="A3棟6F">[8]住宅價目!$V$49:$X$54</definedName>
    <definedName name="A3棟售">[8]住宅價目!$V$24:$W$25</definedName>
    <definedName name="A3棟售6F">[8]住宅價目!$V$100:$W$105</definedName>
    <definedName name="A3機上">'[9]銷況分析-準則'!$B$54:$F$55</definedName>
    <definedName name="A3機下">'[9]銷況分析-準則'!$B$56:$F$57</definedName>
    <definedName name="A4法大">#REF!</definedName>
    <definedName name="A4法小">#REF!</definedName>
    <definedName name="A4法機上">#REF!</definedName>
    <definedName name="A4法機下">#REF!</definedName>
    <definedName name="A4棟">'[9]銷況分析-準則'!$B$8:$E$9</definedName>
    <definedName name="A4獎大">#REF!</definedName>
    <definedName name="A4獎機上">#REF!</definedName>
    <definedName name="A4獎機下">#REF!</definedName>
    <definedName name="A5棟">[8]住宅價目!$V$7:$X$8</definedName>
    <definedName name="A5棟6F">[8]住宅價目!$V$55:$X$60</definedName>
    <definedName name="A5棟售">[8]住宅價目!$V$26:$W$27</definedName>
    <definedName name="A5棟售6F">[8]住宅價目!$V$106:$W$111</definedName>
    <definedName name="A6201A6601">'[7]9401'!#REF!</definedName>
    <definedName name="A6棟">#REF!</definedName>
    <definedName name="aa">'[4]資產負債表(列印)'!#REF!</definedName>
    <definedName name="AAA">'[10]資產負債表(列印)'!#REF!</definedName>
    <definedName name="aas">#REF!</definedName>
    <definedName name="AB">[11]坪數分析!$BU$1:$BV$2</definedName>
    <definedName name="ABC取消合約會審模式">[12]!ABC取消合約會審模式</definedName>
    <definedName name="ABC建立合約會審模式">[12]!ABC建立合約會審模式</definedName>
    <definedName name="ABC移除房車別小計">[12]!ABC移除房車別小計</definedName>
    <definedName name="ABC移除損益小計">[12]!ABC移除損益小計</definedName>
    <definedName name="ABC設置房車別小計">[12]!ABC設置房車別小計</definedName>
    <definedName name="ABC設置損益小計">[12]!ABC設置損益小計</definedName>
    <definedName name="ABC報表中移除總計">[12]!ABC報表中移除總計</definedName>
    <definedName name="ABC報表中設置總計">[12]!ABC報表中設置總計</definedName>
    <definedName name="ABC報表列印">[12]!ABC報表列印</definedName>
    <definedName name="AGE">#REF!</definedName>
    <definedName name="AJ">[11]坪數分析!$CJ$1:$CK$2</definedName>
    <definedName name="ALL">#REF!</definedName>
    <definedName name="area2">#REF!</definedName>
    <definedName name="AS">#REF!</definedName>
    <definedName name="ASDF">[13]發放明細!$A$6:$P$326</definedName>
    <definedName name="asdfads">'[14]資產負債表(列印)'!#REF!</definedName>
    <definedName name="AUpdate">1</definedName>
    <definedName name="A棟">[8]住宅價目!$Z$7:$AB$8</definedName>
    <definedName name="A棟3房">#REF!</definedName>
    <definedName name="A棟4房">#REF!</definedName>
    <definedName name="A棟6F">[8]住宅價目!$V$37:$X$60</definedName>
    <definedName name="A棟面積表">[15]A棟面積!$B:$P</definedName>
    <definedName name="A棟售">[8]住宅價目!$Y$26:$Z$27</definedName>
    <definedName name="A棟售6F">[8]住宅價目!$V$88:$W$111</definedName>
    <definedName name="A棟樓中樓">'[9]銷況分析-準則'!$B$14:$G$15</definedName>
    <definedName name="A棟樓層表">#REF!</definedName>
    <definedName name="A棟標準層">'[9]銷況分析-準則'!$B$12:$G$13</definedName>
    <definedName name="b">'[4]資產負債表(列印)'!#REF!</definedName>
    <definedName name="B.C棟中公設">[5]公設明細!#REF!</definedName>
    <definedName name="B_6201A_6601">'[7]9401'!#REF!</definedName>
    <definedName name="B1F1">#REF!</definedName>
    <definedName name="B1F2">#REF!</definedName>
    <definedName name="B1F3">#REF!</definedName>
    <definedName name="B1F3價差">#REF!</definedName>
    <definedName name="B1F4">#REF!</definedName>
    <definedName name="B1F4價差">#REF!</definedName>
    <definedName name="B1F5">#REF!</definedName>
    <definedName name="B1F5價差">#REF!</definedName>
    <definedName name="B1F6">#REF!</definedName>
    <definedName name="B1F6價差">#REF!</definedName>
    <definedName name="B1F公設明細">[5]公設明細!$C$16:$C$24,[5]公設明細!$G$16,[5]公設明細!$K$16,[5]公設明細!$O$16,[5]公設明細!$S$16</definedName>
    <definedName name="B1棟">[8]住宅價目!$V$9:$X$10</definedName>
    <definedName name="B1棟6F">[8]住宅價目!$V$61:$X$66</definedName>
    <definedName name="B1棟售">[8]住宅價目!$V$28:$W$29</definedName>
    <definedName name="B1棟售6F">[8]住宅價目!$V$112:$W$117</definedName>
    <definedName name="B1複">[15]銷況!$D:$AE</definedName>
    <definedName name="B2F公設明細">[5]公設明細!$C$10:$C$12,[5]公設明細!$G$10,[5]公設明細!$K$10,[5]公設明細!$O$10,[5]公設明細!$S$10</definedName>
    <definedName name="B2棟">[8]住宅價目!$V$11:$X$12</definedName>
    <definedName name="B2棟6F">[8]住宅價目!$V$67:$X$72</definedName>
    <definedName name="B2棟售">[8]住宅價目!$V$30:$W$31</definedName>
    <definedName name="B2棟售6F">[8]住宅價目!$V$118:$W$123</definedName>
    <definedName name="B3F公設明細">[5]公設明細!$C$4:$C$9,[5]公設明細!$G$4:$G$5,[5]公設明細!$K$4:$K$5,[5]公設明細!$O$4:$O$5,[5]公設明細!$S$4:$S$5</definedName>
    <definedName name="B3棟">[8]住宅價目!$V$13:$X$14</definedName>
    <definedName name="B3棟6F">[8]住宅價目!$V$73:$X$78</definedName>
    <definedName name="B3棟售">[8]住宅價目!$V$32:$W$33</definedName>
    <definedName name="B3棟售6F">[8]住宅價目!$V$124:$W$129</definedName>
    <definedName name="B4棟">'[9]銷況分析-準則'!$B$24:$E$25</definedName>
    <definedName name="B5棟">[8]住宅價目!$V$15:$X$16</definedName>
    <definedName name="B5棟6F">[8]住宅價目!$V$79:$X$84</definedName>
    <definedName name="B5棟售">[8]住宅價目!$V$34:$W$35</definedName>
    <definedName name="B5棟售6F">[8]住宅價目!$V$130:$W$135</definedName>
    <definedName name="B6棟">#REF!</definedName>
    <definedName name="B7棟">#REF!</definedName>
    <definedName name="bb">'[4]資產負債表(列印)'!#REF!</definedName>
    <definedName name="BC">[11]坪數分析!$BL$1:$BM$2</definedName>
    <definedName name="BS">#REF!</definedName>
    <definedName name="budgetcost">#REF!</definedName>
    <definedName name="budgetincome">#REF!</definedName>
    <definedName name="BUpdate">1</definedName>
    <definedName name="B棟">[8]住宅價目!$Z$9:$AB$10</definedName>
    <definedName name="B棟13樓排煙室">[16]公設明細!#REF!</definedName>
    <definedName name="B棟3房">#REF!</definedName>
    <definedName name="B棟4房">#REF!</definedName>
    <definedName name="B棟6F">[8]住宅價目!$V$61:$X$84</definedName>
    <definedName name="B棟面積表">[15]B棟面積!$B:$P</definedName>
    <definedName name="B棟售">[8]住宅價目!$Y$28:$Z$29</definedName>
    <definedName name="B棟售6F">[8]住宅價目!$V$112:$W$135</definedName>
    <definedName name="B棟樓中樓">'[9]銷況分析-準則'!$B$28:$G$29</definedName>
    <definedName name="B棟樓層表">#REF!</definedName>
    <definedName name="B棟標準層">'[9]銷況分析-準則'!$B$26:$G$27</definedName>
    <definedName name="cc">'[4]資產負債表(列印)'!#REF!</definedName>
    <definedName name="ccc">'[17]現金流量表(工作底稿列印)'!#REF!</definedName>
    <definedName name="CD">[11]坪數分析!$BO$1:$BP$2</definedName>
    <definedName name="cf">'[4]現金流量表(列印)'!#REF!</definedName>
    <definedName name="cfw">'[4]現金流量表(工作底稿列印)'!#REF!</definedName>
    <definedName name="cost">#REF!</definedName>
    <definedName name="CV">'[10]股東權益變動表(列印)'!#REF!</definedName>
    <definedName name="C棟">[8]住宅價目!$Z$11:$AB$12</definedName>
    <definedName name="C棟6F">[8]住宅價目!$Y$37:$Z$60</definedName>
    <definedName name="C棟售">[8]住宅價目!$Y$30:$Z$31</definedName>
    <definedName name="C棟售6F">[8]住宅價目!$X$88:$Y$111</definedName>
    <definedName name="D">[11]坪數分析!$AK$1:$AM$2</definedName>
    <definedName name="D01_">#REF!</definedName>
    <definedName name="D1F1">#REF!</definedName>
    <definedName name="D1F2">#REF!</definedName>
    <definedName name="D1F3">#REF!</definedName>
    <definedName name="D1F4">#REF!</definedName>
    <definedName name="D1F5">#REF!</definedName>
    <definedName name="D1F6">#REF!</definedName>
    <definedName name="D1棟">[8]住宅價目!$Z$1:$AB$2</definedName>
    <definedName name="D1棟6F">[8]住宅價目!$Z$37:$AB$42</definedName>
    <definedName name="D1棟售">[8]住宅價目!$Y$20:$Z$21</definedName>
    <definedName name="D1棟售6F">[8]住宅價目!$Y$88:$Z$93</definedName>
    <definedName name="D2棟">[8]住宅價目!$Z$3:$AB$4</definedName>
    <definedName name="D2棟6F">[8]住宅價目!$Z$43:$AB$48</definedName>
    <definedName name="D2棟售">[8]住宅價目!$Y$22:$Z$23</definedName>
    <definedName name="D2棟售6F">[8]住宅價目!$Y$94:$Z$99</definedName>
    <definedName name="D3棟">[8]住宅價目!$Z$5:$AB$6</definedName>
    <definedName name="D3棟6F">[8]住宅價目!$Z$49:$AB$54</definedName>
    <definedName name="D3棟售">[8]住宅價目!$Y$24:$Z$25</definedName>
    <definedName name="D3棟售6F">[8]住宅價目!$Y$100:$Z$105</definedName>
    <definedName name="data">#REF!</definedName>
    <definedName name="data2">#REF!</definedName>
    <definedName name="databas1">#REF!</definedName>
    <definedName name="_xlnm.Database">#REF!</definedName>
    <definedName name="dbo_Z_Cost">#REF!</definedName>
    <definedName name="DB合建保證金收付款明細表rng合建保證金總額">[18]合建保證金收付款明細表!#REF!</definedName>
    <definedName name="dd">'[4]損益表(列印)'!#REF!</definedName>
    <definedName name="ddd">'[17]損益表(列印)'!#REF!</definedName>
    <definedName name="DE">[11]坪數分析!$BR$1:$BS$2</definedName>
    <definedName name="DS">'[19]作業量(基本工作量)'!$AP:$CA</definedName>
    <definedName name="DS媒">[9]準則!$G$72:$J$73</definedName>
    <definedName name="D棟">[8]住宅價目!$Z$13:$AB$14</definedName>
    <definedName name="D棟6F">[8]住宅價目!$Z$37:$AB$54</definedName>
    <definedName name="D棟售">[8]住宅價目!$Y$32:$Z$33</definedName>
    <definedName name="D棟售6F">[8]住宅價目!$Y$88:$Z$105</definedName>
    <definedName name="e">'[1]6%. 8%佔率'!#REF!</definedName>
    <definedName name="E1F1">#REF!</definedName>
    <definedName name="E1F2">#REF!</definedName>
    <definedName name="E1F3">#REF!</definedName>
    <definedName name="E1F4">#REF!</definedName>
    <definedName name="E1F5">#REF!</definedName>
    <definedName name="E1F6">#REF!</definedName>
    <definedName name="E1棟">[8]住宅價目!$W$9:$Y$10</definedName>
    <definedName name="E1棟6F">[8]住宅價目!$W$61:$Y$66</definedName>
    <definedName name="E1棟售">[8]住宅價目!$W$28:$X$29</definedName>
    <definedName name="E1棟售6F">[8]住宅價目!$X$112:$Y$117</definedName>
    <definedName name="E2棟">[8]住宅價目!$W$11:$Y$12</definedName>
    <definedName name="E2棟6F">[8]住宅價目!$W$67:$Y$72</definedName>
    <definedName name="E2棟售">[8]住宅價目!$W$30:$X$31</definedName>
    <definedName name="E2棟售6F">[8]住宅價目!$X$118:$Y$123</definedName>
    <definedName name="E3棟">[8]住宅價目!$W$13:$Y$14</definedName>
    <definedName name="E3棟6F">[8]住宅價目!$W$73:$Y$78</definedName>
    <definedName name="E3棟售">[8]住宅價目!$W$32:$X$33</definedName>
    <definedName name="E3棟售6F">[8]住宅價目!$X$124:$Y$129</definedName>
    <definedName name="E5棟">[8]住宅價目!$W$15:$Y$16</definedName>
    <definedName name="E5棟6F">[8]住宅價目!$W$79:$Y$84</definedName>
    <definedName name="E5棟售">[8]住宅價目!$W$34:$X$35</definedName>
    <definedName name="E5棟售6F">[8]住宅價目!$X$130:$Y$135</definedName>
    <definedName name="ee">'[4]股東權益變動表(列印)'!#REF!</definedName>
    <definedName name="EF">[11]坪數分析!$BX$1:$BY$2</definedName>
    <definedName name="ERJ">#REF!</definedName>
    <definedName name="E棟">[8]住宅價目!$Z$15:$AB$16</definedName>
    <definedName name="E棟6F">[8]住宅價目!$W$61:$Y$84</definedName>
    <definedName name="E棟售">[8]住宅價目!$Y$34:$Z$35</definedName>
    <definedName name="E棟售6F">[8]住宅價目!$X$112:$Y$135</definedName>
    <definedName name="F">[11]坪數分析!$AS$1:$AU$2</definedName>
    <definedName name="F1F1">#REF!</definedName>
    <definedName name="F1F2">#REF!</definedName>
    <definedName name="F1F3">#REF!</definedName>
    <definedName name="F1F4">#REF!</definedName>
    <definedName name="F1F5">#REF!</definedName>
    <definedName name="F1戶">[20]F1戶!$1:$1048576</definedName>
    <definedName name="F1業績">[20]F1業績!$1:$1048576</definedName>
    <definedName name="FF">[11]坪數分析!$AS$3:$AU$4</definedName>
    <definedName name="FG">[11]坪數分析!$CG$1:$CH$2</definedName>
    <definedName name="F代">'[21]F案 '!$B:$S</definedName>
    <definedName name="F複">[22]銷況!$D:$AE</definedName>
    <definedName name="G">[11]坪數分析!$AW$1:$AY$2</definedName>
    <definedName name="G1F1">#REF!</definedName>
    <definedName name="G1F2">#REF!</definedName>
    <definedName name="G1F3">#REF!</definedName>
    <definedName name="G1F4">#REF!</definedName>
    <definedName name="G1F5">#REF!</definedName>
    <definedName name="G1車">[23]銷況!$E:$Y</definedName>
    <definedName name="G1案">[23]銷況!$D:$Y</definedName>
    <definedName name="GG">[11]坪數分析!$AW$3:$AY$4</definedName>
    <definedName name="GH">[11]坪數分析!$CA$1:$CB$2</definedName>
    <definedName name="GUpdate">0</definedName>
    <definedName name="GYGY">#REF!</definedName>
    <definedName name="H">[11]坪數分析!$BA$1:$BC$2</definedName>
    <definedName name="H1F1">#REF!</definedName>
    <definedName name="H1F2">#REF!</definedName>
    <definedName name="H1F3">#REF!</definedName>
    <definedName name="H1F4">#REF!</definedName>
    <definedName name="H1F5">#REF!</definedName>
    <definedName name="H21媒體">[24]H21來人來電資料!$1:$1048576</definedName>
    <definedName name="H22銷況">[25]銷況!$1:$1048576</definedName>
    <definedName name="H25媒體">'[24]H25來人來電資料 '!$1:$1048576</definedName>
    <definedName name="H28戶">[20]H28戶!$4:$56</definedName>
    <definedName name="H28業績">[20]H28業績!$5:$111</definedName>
    <definedName name="H32戶">[20]H32戶!$1:$1048576</definedName>
    <definedName name="H32業績">[20]H32業績!$A:$G</definedName>
    <definedName name="H50面積">[26]面積!$B:$U</definedName>
    <definedName name="H58A第一次追減">[27]M38耗料分析表!$1:$3</definedName>
    <definedName name="H58第一次追減">[27]M38耗料分析表!$1:$3</definedName>
    <definedName name="HH">[11]坪數分析!$BA$3:$BC$4</definedName>
    <definedName name="HJ">'[28]9401'!#REF!</definedName>
    <definedName name="I">#REF!</definedName>
    <definedName name="I1F1">#REF!</definedName>
    <definedName name="I1F2">'[29]#REF'!#REF!</definedName>
    <definedName name="I1F3">#REF!</definedName>
    <definedName name="I1F4">#REF!</definedName>
    <definedName name="I1F5">#REF!</definedName>
    <definedName name="II">[11]坪數分析!$BE$3:$BG$4</definedName>
    <definedName name="IJ">[11]坪數分析!$CD$1:$CE$2</definedName>
    <definedName name="Income">#REF!</definedName>
    <definedName name="INV">#REF!</definedName>
    <definedName name="IP">#REF!</definedName>
    <definedName name="IPA">#REF!</definedName>
    <definedName name="J">#REF!</definedName>
    <definedName name="J1F1">#REF!</definedName>
    <definedName name="J1F2">#REF!</definedName>
    <definedName name="J1F3">#REF!</definedName>
    <definedName name="J1F4">#REF!</definedName>
    <definedName name="J1F5">#REF!</definedName>
    <definedName name="JJ">[11]坪數分析!$BI$3:$BK$4</definedName>
    <definedName name="JLKK">'[28]9401'!#REF!</definedName>
    <definedName name="k">'[4]股東權益變動表(列印)'!#REF!</definedName>
    <definedName name="K1F3">#REF!</definedName>
    <definedName name="K1F4">#REF!</definedName>
    <definedName name="K1F5">#REF!</definedName>
    <definedName name="kkk">'[30]股東權益變動表(列印)'!#REF!</definedName>
    <definedName name="L">[1]TSO!#REF!</definedName>
    <definedName name="L1F1">#REF!</definedName>
    <definedName name="L1F2">#REF!</definedName>
    <definedName name="L1F3">#REF!</definedName>
    <definedName name="L1F4">#REF!</definedName>
    <definedName name="L1F5">#REF!</definedName>
    <definedName name="M">#REF!</definedName>
    <definedName name="M11案">#REF!</definedName>
    <definedName name="M1F1">#REF!</definedName>
    <definedName name="M1F2">#REF!</definedName>
    <definedName name="M1F3">#REF!</definedName>
    <definedName name="M1F4">#REF!</definedName>
    <definedName name="M1F5">#REF!</definedName>
    <definedName name="M58A">[27]M38耗料分析表!$1:$3</definedName>
    <definedName name="mark1">#REF!</definedName>
    <definedName name="n">'[10]資產負債表(列印)'!#REF!</definedName>
    <definedName name="N1_">#N/A</definedName>
    <definedName name="N2_">#N/A</definedName>
    <definedName name="N3_">#N/A</definedName>
    <definedName name="N4_">#N/A</definedName>
    <definedName name="new">'[30]現金流量表(列印)'!#REF!</definedName>
    <definedName name="NN">#REF!</definedName>
    <definedName name="P">#REF!</definedName>
    <definedName name="P1_">#N/A</definedName>
    <definedName name="P2_">#N/A</definedName>
    <definedName name="P3_">#N/A</definedName>
    <definedName name="P4_">#N/A</definedName>
    <definedName name="PAGE">#REF!</definedName>
    <definedName name="PAGE1">#REF!</definedName>
    <definedName name="PAGE2">#REF!</definedName>
    <definedName name="PAGE3">#REF!</definedName>
    <definedName name="PAGE4">#REF!</definedName>
    <definedName name="PART">#REF!</definedName>
    <definedName name="PRIN_TITLES">[27]M38耗料分析表!$1:$3</definedName>
    <definedName name="PRINT">#REF!</definedName>
    <definedName name="_xlnm.Print_Area">'[31]行動方案-稽核室(92年)'!$A$1:$S$37</definedName>
    <definedName name="Print_B">#REF!</definedName>
    <definedName name="Print_C">#REF!</definedName>
    <definedName name="Print_D">#REF!</definedName>
    <definedName name="_xlnm.Print_Titles">#REF!</definedName>
    <definedName name="PRINTITLES">[27]M38耗料分析表!$1:$3</definedName>
    <definedName name="q">#REF!</definedName>
    <definedName name="range">#REF!</definedName>
    <definedName name="RATE11">#REF!</definedName>
    <definedName name="rngKeyInput">OFFSET([10]在建土地!$A$4,0,0,1,COUNTA([10]在建土地!$3:$3))</definedName>
    <definedName name="rng加班費一月">#REF!</definedName>
    <definedName name="rng伙食費一月">#REF!</definedName>
    <definedName name="rng年度">#REF!</definedName>
    <definedName name="rng投資損益權益法十二月">#REF!</definedName>
    <definedName name="rng每股盈餘一月">#REF!</definedName>
    <definedName name="rng每股盈餘二月">#REF!</definedName>
    <definedName name="rng部門人數一月">#REF!</definedName>
    <definedName name="rng稅後純益一月">#REF!</definedName>
    <definedName name="rng稅後純益七月">#REF!</definedName>
    <definedName name="rng稅後純益九月">#REF!</definedName>
    <definedName name="rng稅後純益二月">#REF!</definedName>
    <definedName name="rng稅後純益八月">#REF!</definedName>
    <definedName name="rng稅後純益十一月">#REF!</definedName>
    <definedName name="rng稅後純益十二月">#REF!</definedName>
    <definedName name="rng稅後純益十月">#REF!</definedName>
    <definedName name="rng稅後純益三月">#REF!</definedName>
    <definedName name="rng稅後純益五月">#REF!</definedName>
    <definedName name="rng稅後純益六月">#REF!</definedName>
    <definedName name="rng稅後純益四月">#REF!</definedName>
    <definedName name="rng管銷費用小計一月">#REF!</definedName>
    <definedName name="rng管銷費用小計七月">#REF!</definedName>
    <definedName name="rng管銷費用小計九月">#REF!</definedName>
    <definedName name="rng管銷費用小計二月">#REF!</definedName>
    <definedName name="rng管銷費用小計八月">#REF!</definedName>
    <definedName name="rng管銷費用小計十一月">#REF!</definedName>
    <definedName name="rng管銷費用小計十二月">#REF!</definedName>
    <definedName name="rng管銷費用小計十月">#REF!</definedName>
    <definedName name="rng管銷費用小計三月">#REF!</definedName>
    <definedName name="rng管銷費用小計五月">#REF!</definedName>
    <definedName name="rng管銷費用小計六月">#REF!</definedName>
    <definedName name="rng管銷費用小計四月">#REF!</definedName>
    <definedName name="rng營業毛利一月累計">#REF!</definedName>
    <definedName name="rng營業毛利二月">#REF!</definedName>
    <definedName name="rng營業成本一月">#REF!</definedName>
    <definedName name="rng營業成本七月">#REF!</definedName>
    <definedName name="rng營業成本九月">#REF!</definedName>
    <definedName name="rng營業成本二月">#REF!</definedName>
    <definedName name="rng營業成本八月">#REF!</definedName>
    <definedName name="rng營業成本十一月">#REF!</definedName>
    <definedName name="rng營業成本十二月">#REF!</definedName>
    <definedName name="rng營業成本十月">#REF!</definedName>
    <definedName name="rng營業成本三月">#REF!</definedName>
    <definedName name="rng營業成本五月">#REF!</definedName>
    <definedName name="rng營業成本六月">#REF!</definedName>
    <definedName name="rng營業成本四月">#REF!</definedName>
    <definedName name="rng營業收入小計一月">#REF!</definedName>
    <definedName name="rng營業收入小計一月累計">#REF!</definedName>
    <definedName name="rng營業收入小計七月">#REF!</definedName>
    <definedName name="rng營業收入小計九月">#REF!</definedName>
    <definedName name="rng營業收入小計二月">#REF!</definedName>
    <definedName name="rng營業收入小計八月">#REF!</definedName>
    <definedName name="rng營業收入小計十一月">#REF!</definedName>
    <definedName name="rng營業收入小計十二月">#REF!</definedName>
    <definedName name="rng營業收入小計十月">#REF!</definedName>
    <definedName name="rng營業收入小計三月">#REF!</definedName>
    <definedName name="rng營業收入小計五月">#REF!</definedName>
    <definedName name="rng營業收入小計六月">#REF!</definedName>
    <definedName name="rng營業收入小計四月">#REF!</definedName>
    <definedName name="rng營業淨利一月">#REF!</definedName>
    <definedName name="rng營業淨利二月">#REF!</definedName>
    <definedName name="rng薪資支出一月">#REF!</definedName>
    <definedName name="rng薪資支出二月">#REF!</definedName>
    <definedName name="rng薪資支出三月">#REF!</definedName>
    <definedName name="RR">#REF!</definedName>
    <definedName name="S">'[10]資產負債表(列印)'!#REF!</definedName>
    <definedName name="salary">#REF!</definedName>
    <definedName name="SEX">#REF!</definedName>
    <definedName name="T">#REF!</definedName>
    <definedName name="TERM">#REF!</definedName>
    <definedName name="TUpdate">1</definedName>
    <definedName name="w">#REF!</definedName>
    <definedName name="wrn.月報.">{#N/A,#N/A,TRUE,"項次";#N/A,#N/A,TRUE,"月報封面";#N/A,#N/A,TRUE,"工地基本資料";#N/A,#N/A,TRUE,"全程營運控制表";#N/A,#N/A,TRUE,"雙週進度表";#N/A,#N/A,TRUE,"支出統計表";#N/A,#N/A,TRUE,"收入統計表";#N/A,#N/A,TRUE,"收支差異統計表 ";#N/A,#N/A,TRUE,"工率分析統計表"}</definedName>
    <definedName name="ww">#REF!</definedName>
    <definedName name="z">#REF!</definedName>
    <definedName name="Z_11E9F2C0_97C0_11D9_9902_00E018340979_.wvu.Cols">[32]房地銷售明細!$M$1:$P$65536,[32]房地銷售明細!$U$1:$Z$65536,[32]房地銷售明細!$AH$1:$AR$65536</definedName>
    <definedName name="Z_2F086320_6578_11D9_9902_00105A63E6E8_.wvu.Rows">[33]H32!$A$47:$IV$47,[33]H32!$A$49:$IV$49,[33]H32!$A$89:$IV$96</definedName>
    <definedName name="Z_84E9460A_692F_11D9_9901_00E01839F779_.wvu.Rows">[33]H32!$A$41:$IV$42,[33]H32!$A$47:$IV$47,[33]H32!$A$49:$IV$49,[33]H32!$A$89:$IV$96</definedName>
    <definedName name="Z_A91A94A1_6490_11D9_9902_00E018340979_.wvu.Rows">[33]H32!$A$41:$IV$42,[33]H32!$A$47:$IV$47,[33]H32!$A$49:$IV$49,[33]H32!$A$89:$IV$96</definedName>
    <definedName name="Z_E121C383_660B_11D9_9902_00105A63E6A9_.wvu.Rows">[33]H32!$A$47:$IV$47,[33]H32!$A$49:$IV$49,[33]H32!$A$89:$IV$96</definedName>
    <definedName name="za">'[34]資產負債表(列印)'!#REF!</definedName>
    <definedName name="zb">'[34]資產負債表(列印)'!#REF!</definedName>
    <definedName name="zc">'[34]資產負債表(列印)'!#REF!</definedName>
    <definedName name="zz">'[34]資產負債表(列印)'!#REF!</definedName>
    <definedName name="一">[1]TSO!#REF!</definedName>
    <definedName name="一樓">[35]住宅價目!$W$17:$X$18</definedName>
    <definedName name="一樓公設">#REF!</definedName>
    <definedName name="一樓夾總">#REF!</definedName>
    <definedName name="一樓底">#REF!</definedName>
    <definedName name="一樓租">#REF!</definedName>
    <definedName name="一樓售">#REF!</definedName>
    <definedName name="一樓總">#REF!</definedName>
    <definedName name="七天內">[36]Sheet1!$I$1:$I$2</definedName>
    <definedName name="七月">[37]明細!#REF!</definedName>
    <definedName name="九">#REF!</definedName>
    <definedName name="九月">[37]明細!#REF!</definedName>
    <definedName name="二">#REF!</definedName>
    <definedName name="二月">[37]明細!#REF!</definedName>
    <definedName name="二至四週">[36]Sheet1!$L$1:$M$2</definedName>
    <definedName name="二房">[38]銷控表準則!$D$23:$E$24</definedName>
    <definedName name="二房1">[39]調價!$P$3:$T$4</definedName>
    <definedName name="二房B">[38]銷控表準則!$C$23:$E$24</definedName>
    <definedName name="二房B有">[38]銷控表準則!$C$23:$F$24</definedName>
    <definedName name="二房B無">[38]銷控表準則!$C$30:$F$31</definedName>
    <definedName name="二房一">[39]調價!$S$7:$X$8</definedName>
    <definedName name="二房一累">[39]調價!$T$7:$Y$8</definedName>
    <definedName name="二房二">[39]調價!$S$13:$X$14</definedName>
    <definedName name="二房二累">[39]調價!$T$13:$Y$14</definedName>
    <definedName name="二房三">[39]調價!$S$19:$X$20</definedName>
    <definedName name="二房三累">[39]調價!$T$19:$Y$20</definedName>
    <definedName name="二房五">[39]調價!$S$31:$X$32</definedName>
    <definedName name="二房五累">[39]調價!$T$31:$Y$32</definedName>
    <definedName name="二房四">[39]調價!$S$25:$X$26</definedName>
    <definedName name="二房四累">[39]調價!$T$25:$Y$26</definedName>
    <definedName name="二房有">[38]銷控表準則!$D$23:$F$24</definedName>
    <definedName name="二房無">[38]銷控表準則!$D$30:$F$31</definedName>
    <definedName name="二個月至六個月">[36]Sheet1!$P$1:$Q$2</definedName>
    <definedName name="二週">[36]Sheet1!$J$1:$K$2</definedName>
    <definedName name="二樓公設">#REF!</definedName>
    <definedName name="八月">[37]明細!#REF!</definedName>
    <definedName name="三月">[37]明細!#REF!</definedName>
    <definedName name="三民">[40]準則!$J$83:$M$84</definedName>
    <definedName name="三房">[38]銷控表準則!$D$5:$E$6</definedName>
    <definedName name="三房1">[39]調價!$U$3:$Z$4</definedName>
    <definedName name="三房A">[38]銷控表準則!$C$5:$E$6</definedName>
    <definedName name="三房A有">[38]銷控表準則!$C$5:$F$6</definedName>
    <definedName name="三房A無">[38]銷控表準則!$C$10:$F$11</definedName>
    <definedName name="三房B">[38]銷控表準則!$C$21:$E$22</definedName>
    <definedName name="三房B有">[38]銷控表準則!$C$21:$F$22</definedName>
    <definedName name="三房B無">[38]銷控表準則!$C$28:$F$29</definedName>
    <definedName name="三房一">[39]調價!$Z$7:$AF$8</definedName>
    <definedName name="三房一累">[39]調價!$AA$7:$AG$8</definedName>
    <definedName name="三房二">[39]調價!$Z$13:$AF$14</definedName>
    <definedName name="三房二累">[39]調價!$AA$13:$AG$14</definedName>
    <definedName name="三房有">[38]銷控表準則!$D$5:$F$6</definedName>
    <definedName name="三房無">[38]銷控表準則!$D$28:$F$29</definedName>
    <definedName name="三重媒">[39]準則!$A$70:$E$71</definedName>
    <definedName name="三樓公設">#REF!</definedName>
    <definedName name="上月">#REF!</definedName>
    <definedName name="士林">[39]準則!$G$68:$K$69</definedName>
    <definedName name="大公">#REF!</definedName>
    <definedName name="大同">[41]準則!#REF!</definedName>
    <definedName name="大建">#REF!</definedName>
    <definedName name="大建車底總">#REF!</definedName>
    <definedName name="小公">[42]公設明細!#REF!</definedName>
    <definedName name="工地價目表">#REF!</definedName>
    <definedName name="中公">[42]公設明細!#REF!</definedName>
    <definedName name="中興">#REF!</definedName>
    <definedName name="中興1F">#REF!</definedName>
    <definedName name="中興2F">#REF!</definedName>
    <definedName name="中興車底總">#REF!</definedName>
    <definedName name="中壢媒">[39]準則!$A$68:$E$69</definedName>
    <definedName name="五月">[37]明細!#REF!</definedName>
    <definedName name="五股媒">[39]準則!$A$74:$E$75</definedName>
    <definedName name="內裝科">[43]許靜茹92!$A$10:$D$56</definedName>
    <definedName name="公設">#REF!</definedName>
    <definedName name="六月">[37]明細!#REF!</definedName>
    <definedName name="六個月以上">[36]Sheet1!$R$1:$R$2</definedName>
    <definedName name="分出底1">#REF!</definedName>
    <definedName name="分析二房B">[38]銷售分析準則!$B$15:$E$16</definedName>
    <definedName name="分析二房有">[38]銷售分析準則!$B$23:$E$24</definedName>
    <definedName name="分析二房無">[38]銷售分析準則!$B$31:$E$32</definedName>
    <definedName name="分析三房A">[38]銷售分析準則!$B$6:$E$7</definedName>
    <definedName name="分析三房B">[38]銷售分析準則!$B$13:$E$14</definedName>
    <definedName name="分析三房有">[38]銷售分析準則!$B$21:$E$22</definedName>
    <definedName name="分析三房無">[38]銷售分析準則!$B$29:$E$30</definedName>
    <definedName name="分析四房A">[38]銷售分析準則!$B$4:$E$5</definedName>
    <definedName name="分析四房B">[38]銷售分析準則!$B$11:$E$12</definedName>
    <definedName name="分析四房有">[38]銷售分析準則!$B$19:$E$20</definedName>
    <definedName name="分析四房無">[38]銷售分析準則!$B$27:$E$28</definedName>
    <definedName name="方案4">#REF!</definedName>
    <definedName name="月">#REF!</definedName>
    <definedName name="出缺勤">[44]出缺勤!$A:$IV</definedName>
    <definedName name="北市媒">[39]準則!$A$82:$E$83</definedName>
    <definedName name="北縣其他媒">[39]準則!$A$78:$E$79</definedName>
    <definedName name="去年同期">#REF!</definedName>
    <definedName name="台中">[45]準則!$J$105:$M$106</definedName>
    <definedName name="台北">[40]準則!$J$91:$M$92</definedName>
    <definedName name="四月">[37]明細!#REF!</definedName>
    <definedName name="四房">[38]銷控表準則!$D$3:$E$4</definedName>
    <definedName name="四房1">[39]調價!$AA$3:$AF$4</definedName>
    <definedName name="四房A">[38]銷控表準則!$C$3:$E$4</definedName>
    <definedName name="四房A有">[38]銷控表準則!$C$3:$F$4</definedName>
    <definedName name="四房A無">[38]銷控表準則!$C$8:$F$9</definedName>
    <definedName name="四房B">[38]銷控表準則!$C$19:$E$20</definedName>
    <definedName name="四房B有">[38]銷控表準則!$C$19:$F$20</definedName>
    <definedName name="四房B無">[38]銷控表準則!$C$26:$F$27</definedName>
    <definedName name="四房一累">[39]調價!$AI$7:$AO$8</definedName>
    <definedName name="四房二">[39]調價!$AH$13:$AN$14</definedName>
    <definedName name="四房二累">[39]調價!$AI$13:$AO$14</definedName>
    <definedName name="四房有">[38]銷控表準則!$D$3:$F$4</definedName>
    <definedName name="四房無">[38]銷控表準則!$D$26:$F$27</definedName>
    <definedName name="四週至二個月">[36]Sheet1!$N$1:$O$2</definedName>
    <definedName name="四樓以上公設">#REF!</definedName>
    <definedName name="巨集2">[46]!巨集2</definedName>
    <definedName name="平車一">[39]調價!$AW$7:$BB$8</definedName>
    <definedName name="平車一累">[39]調價!$AX$7:$BC$8</definedName>
    <definedName name="平車二">[39]調價!$AW$13:$BB$14</definedName>
    <definedName name="平車二累">[39]調價!$AX$13:$BC$14</definedName>
    <definedName name="平面車位1">[39]調價!$AL$3:$AP$4</definedName>
    <definedName name="未A">[38]銷控表準則!$I$13:$J$14</definedName>
    <definedName name="未B">[38]銷控表準則!$I$33:$J$34</definedName>
    <definedName name="未二房">[38]銷控表準則!$J$23:$K$24</definedName>
    <definedName name="未二房B">[38]銷控表準則!$I$23:$K$24</definedName>
    <definedName name="未二房B有">[38]銷控表準則!$I$23:$L$24</definedName>
    <definedName name="未二房B無">[38]銷控表準則!$I$30:$L$31</definedName>
    <definedName name="未二房有">[38]銷控表準則!$J$23:$L$24</definedName>
    <definedName name="未二房無">[38]銷控表準則!$J$30:$L$31</definedName>
    <definedName name="未三房">[38]銷控表準則!$J$5:$K$6</definedName>
    <definedName name="未三房A">[38]銷控表準則!$I$5:$K$6</definedName>
    <definedName name="未三房A有">[38]銷控表準則!$I$5:$L$6</definedName>
    <definedName name="未三房A無">[38]銷控表準則!$I$10:$L$11</definedName>
    <definedName name="未三房B">[38]銷控表準則!$I$21:$K$22</definedName>
    <definedName name="未三房B有">[38]銷控表準則!$I$21:$L$22</definedName>
    <definedName name="未三房B無">[38]銷控表準則!$I$28:$L$29</definedName>
    <definedName name="未三房有">[38]銷控表準則!$J$5:$L$6</definedName>
    <definedName name="未三房無">[38]銷控表準則!$J$28:$L$29</definedName>
    <definedName name="未四房">[38]銷控表準則!$J$3:$K$4</definedName>
    <definedName name="未四房A">[38]銷控表準則!$I$3:$K$4</definedName>
    <definedName name="未四房A有">[38]銷控表準則!$I$3:$L$4</definedName>
    <definedName name="未四房A無">[38]銷控表準則!$I$8:$L$9</definedName>
    <definedName name="未四房B">[38]銷控表準則!$I$19:$K$20</definedName>
    <definedName name="未四房B有">[38]銷控表準則!$I$19:$L$20</definedName>
    <definedName name="未四房B無">[38]銷控表準則!$I$26:$L$27</definedName>
    <definedName name="未四房有">[38]銷控表準則!$J$3:$L$4</definedName>
    <definedName name="未四房無">[38]銷控表準則!$J$26:$L$27</definedName>
    <definedName name="未有">[38]銷控表準則!$K$3:$L$4</definedName>
    <definedName name="未售">[38]銷控表準則!$J$13:$J$14</definedName>
    <definedName name="未無">[38]銷控表準則!$K$8:$L$9</definedName>
    <definedName name="未結案追蹤表1">'[46]資產負債表(列印)'!#REF!</definedName>
    <definedName name="目標">[46]目標!$A$1:$M$65536</definedName>
    <definedName name="目標設定">[47]目標!$A$1:$E$437</definedName>
    <definedName name="全員行銷">[39]準則!$G$80:$J$81</definedName>
    <definedName name="再訪">#REF!</definedName>
    <definedName name="合約書">#REF!</definedName>
    <definedName name="地上預">#REF!</definedName>
    <definedName name="地上實">#REF!</definedName>
    <definedName name="地上標">#REF!</definedName>
    <definedName name="地下預">#REF!</definedName>
    <definedName name="地下實">#REF!</definedName>
    <definedName name="地下標">#REF!</definedName>
    <definedName name="地主">[48]地主!$A$1:$V$29</definedName>
    <definedName name="地主車底">#REF!</definedName>
    <definedName name="年">#REF!</definedName>
    <definedName name="年齡層">#REF!</definedName>
    <definedName name="成本資料庫">[49]成本資料庫!$A:$IV</definedName>
    <definedName name="收文參照">#REF!</definedName>
    <definedName name="自車1">#REF!</definedName>
    <definedName name="自營目標">#REF!</definedName>
    <definedName name="自營實際">#REF!</definedName>
    <definedName name="行銷簡報">#REF!</definedName>
    <definedName name="住樓中樓1">[41]調價!#REF!</definedName>
    <definedName name="余韋富">#REF!</definedName>
    <definedName name="吳鴻成">#REF!</definedName>
    <definedName name="吳鴻成交">#REF!</definedName>
    <definedName name="吳鴻成預">#REF!</definedName>
    <definedName name="吳鴻成實">#REF!</definedName>
    <definedName name="呂秀瓊">#REF!</definedName>
    <definedName name="呂秀瓊交">#REF!</definedName>
    <definedName name="呂秀瓊預">#REF!</definedName>
    <definedName name="呂秀瓊實">#REF!</definedName>
    <definedName name="夾層底">#REF!</definedName>
    <definedName name="巫振吉交">#REF!</definedName>
    <definedName name="巫振吉預">#REF!</definedName>
    <definedName name="巫振吉實">#REF!</definedName>
    <definedName name="投資1">[39]準則!$R$75:$U$76</definedName>
    <definedName name="李">#REF!</definedName>
    <definedName name="李自明交">#REF!</definedName>
    <definedName name="李自明預">#REF!</definedName>
    <definedName name="李自明實">#REF!</definedName>
    <definedName name="束立一">#REF!</definedName>
    <definedName name="沈麗瑩">#REF!</definedName>
    <definedName name="車位">#REF!</definedName>
    <definedName name="車位明細">#REF!</definedName>
    <definedName name="車位資料">#REF!</definedName>
    <definedName name="車銷">[50]車位!$A:$IV</definedName>
    <definedName name="車銷況">[51]銷況!$E$1:$AC$65536</definedName>
    <definedName name="來人">'[52]H21媒體回饋(公司用)'!$P$1:$R$2</definedName>
    <definedName name="來人年齡層">[53]媒體回饋表!$CE$1:$CL$65536</definedName>
    <definedName name="來人行業別">[53]媒體回饋表!$AZ$1:$BK$65536</definedName>
    <definedName name="來人來電資料">[54]DATA!$B$2:$DX$1831</definedName>
    <definedName name="來人區域">[53]媒體回饋表!$N$1:$Y$65536</definedName>
    <definedName name="來人產品需求">[53]媒體回饋表!$AQ$1:$AX$65536</definedName>
    <definedName name="來人產縹需求">[55]來人!$AE$1:$AK$65536</definedName>
    <definedName name="來人媒體">[53]媒體回饋表!$AA$1:$AO$65536</definedName>
    <definedName name="來人詢問重點">[53]媒體回饋表!$BT$1:$CC$65536</definedName>
    <definedName name="來人需求">[53]媒體回饋表!$BM$1:$BR$65536</definedName>
    <definedName name="來訪記錄">[56]資料庫!$A:$N</definedName>
    <definedName name="來電">'[52]H21媒體回饋(公司用)'!$P$3:$R$4</definedName>
    <definedName name="來電年齡層">[53]媒體回饋表!$FE$1:$FL$65536</definedName>
    <definedName name="來電行業別">[53]媒體回饋表!$DZ$1:$EK$65536</definedName>
    <definedName name="來電區域">[53]媒體回饋表!$CN$1:$CY$65536</definedName>
    <definedName name="來電產品需求">[53]媒體回饋表!$DQ$1:$DX$65536</definedName>
    <definedName name="來電媒體">[53]媒體回饋表!$DA$1:$DO$65536</definedName>
    <definedName name="來電詢問重點">[53]媒體回饋表!$ET$1:$FC$65536</definedName>
    <definedName name="來電需求">[53]媒體回饋表!$EM$1:$ER$65536</definedName>
    <definedName name="來電需求目的">[55]來電!$BA$1:$BE$65536</definedName>
    <definedName name="其他縣市媒">[39]準則!$A$84:$E$85</definedName>
    <definedName name="底價總">#REF!</definedName>
    <definedName name="店一">[39]調價!$M$7:$Q$8</definedName>
    <definedName name="店一累">[39]調價!$N$7:$R$8</definedName>
    <definedName name="店二">[39]調價!$M$13:$Q$14</definedName>
    <definedName name="店二累">[39]調價!$N$13:$R$14</definedName>
    <definedName name="店三">[39]調價!$M$19:$Q$20</definedName>
    <definedName name="店三累">[39]調價!$N$19:$R$20</definedName>
    <definedName name="店五">[39]調價!$M$31:$Q$32</definedName>
    <definedName name="店五累">[39]調價!$N$31:$R$32</definedName>
    <definedName name="店四">[39]調價!$M$25:$Q$26</definedName>
    <definedName name="店四累">[39]調價!$N$25:$R$26</definedName>
    <definedName name="店面">'[39]銷況分析-準則'!$B$10:$E$11</definedName>
    <definedName name="店面1">[39]調價!$L$3:$O$4</definedName>
    <definedName name="房車比">#REF!</definedName>
    <definedName name="房屋">#REF!</definedName>
    <definedName name="房銷況">[51]銷況!$D$1:$AC$65536</definedName>
    <definedName name="拆款比例">#REF!</definedName>
    <definedName name="拆款面積">#REF!</definedName>
    <definedName name="東">#REF!</definedName>
    <definedName name="林口媒">[39]準則!$A$76:$E$77</definedName>
    <definedName name="林建宏月">[41]準則!#REF!</definedName>
    <definedName name="林益昌">#REF!</definedName>
    <definedName name="的">#REF!</definedName>
    <definedName name="空管明細">[57]合建保證金收付款明細表!#REF!</definedName>
    <definedName name="表">[58]部!$C$1:$Y$65536</definedName>
    <definedName name="表7">#REF!</definedName>
    <definedName name="表7.97交辦事項管制表">#REF!</definedName>
    <definedName name="表7.交辦事項管制表">#REF!</definedName>
    <definedName name="表9">#REF!</definedName>
    <definedName name="金融保險">[39]準則!$L$66:$O$67</definedName>
    <definedName name="附表1">'[58]9401'!#REF!</definedName>
    <definedName name="信義">[39]準則!$L$66:$P$67</definedName>
    <definedName name="南港">[39]準則!$L$68:$P$69</definedName>
    <definedName name="建材建議">#REF!</definedName>
    <definedName name="施工日">#REF!</definedName>
    <definedName name="紅線會議">#REF!</definedName>
    <definedName name="軍警人員">[39]準則!$L$72:$O$73</definedName>
    <definedName name="面C1">#REF!</definedName>
    <definedName name="面C2">#REF!</definedName>
    <definedName name="面C3">#REF!</definedName>
    <definedName name="面C4">#REF!</definedName>
    <definedName name="面C5">#REF!</definedName>
    <definedName name="面C6">#REF!</definedName>
    <definedName name="面積">[59]Sheet3!$C$5:$H$91</definedName>
    <definedName name="面積表">[42]面積計算表!$C$1:$O$65536</definedName>
    <definedName name="面積計算">#REF!</definedName>
    <definedName name="首購">[39]準則!$R$71:$U$72</definedName>
    <definedName name="香榭移除房車別小計">[12]!香榭移除房車別小計</definedName>
    <definedName name="香榭移除損益小計">[12]!香榭移除損益小計</definedName>
    <definedName name="香榭設置房車別小計">[12]!香榭設置房車別小計</definedName>
    <definedName name="香榭設置損益小計">[12]!香榭設置損益小計</definedName>
    <definedName name="香榭報表加總計">[12]!香榭報表加總計</definedName>
    <definedName name="香榭報表列印">[12]!香榭報表列印</definedName>
    <definedName name="香榭報表移除總計">[12]!香榭報表移除總計</definedName>
    <definedName name="香榭湖畔建立合約會審模式">[12]!香榭湖畔建立合約會審模式</definedName>
    <definedName name="個人績效">[60]個人績效!$A$1:$BB$65536</definedName>
    <definedName name="桃市媒">[39]準則!$A$62:$E$63</definedName>
    <definedName name="案">#REF!</definedName>
    <definedName name="案三房">'[39]銷況分析-準則'!$B$32:$G$33</definedName>
    <definedName name="案四房">'[39]銷況分析-準則'!$B$34:$G$35</definedName>
    <definedName name="案名">#REF!</definedName>
    <definedName name="租坪">#REF!</definedName>
    <definedName name="租房">#REF!</definedName>
    <definedName name="送照圖面確定">#REF!</definedName>
    <definedName name="假設租價">#REF!</definedName>
    <definedName name="假設單價">#REF!</definedName>
    <definedName name="區域">#REF!</definedName>
    <definedName name="售">[38]銷控表準則!$D$13:$D$14</definedName>
    <definedName name="售A">[38]銷控表準則!$C$13:$D$14</definedName>
    <definedName name="售B">[38]銷控表準則!$C$33:$D$34</definedName>
    <definedName name="售有">[38]銷控表準則!$E$3:$F$4</definedName>
    <definedName name="售坪">#REF!</definedName>
    <definedName name="售房">#REF!</definedName>
    <definedName name="售無">[38]銷控表準則!$E$8:$F$9</definedName>
    <definedName name="商1">#REF!</definedName>
    <definedName name="專業轉行銷">#REF!</definedName>
    <definedName name="張政傑">#REF!</definedName>
    <definedName name="張賀評">#REF!</definedName>
    <definedName name="張新生">#REF!</definedName>
    <definedName name="張碧川">#REF!</definedName>
    <definedName name="接待中心施工">#REF!</definedName>
    <definedName name="接待中心尋點">#REF!</definedName>
    <definedName name="梁興邦">#REF!</definedName>
    <definedName name="現場用牌價">'[38]價目(現場用)'!$E$10:$AL$74</definedName>
    <definedName name="產品">[61]Sheet1!$1:$1048576</definedName>
    <definedName name="產品需求">#REF!</definedName>
    <definedName name="第一次來訪排名">#REF!</definedName>
    <definedName name="累計">'[52]H21媒體回饋(公司用)'!$R$1:$S$2</definedName>
    <definedName name="莊褔平交">#REF!</definedName>
    <definedName name="莊褔平預">#REF!</definedName>
    <definedName name="莊褔平實">#REF!</definedName>
    <definedName name="規二房B">[38]銷控表準則!$C$23:$D$24</definedName>
    <definedName name="規二房有">[38]銷控表準則!$C$40:$D$41</definedName>
    <definedName name="規二房無">[38]銷控表準則!$C$47:$D$48</definedName>
    <definedName name="規三房A">[38]銷控表準則!$C$5:$D$6</definedName>
    <definedName name="規三房B">[38]銷控表準則!$C$21:$D$22</definedName>
    <definedName name="規三房有">[38]銷控表準則!$C$38:$D$39</definedName>
    <definedName name="規三房無">[38]銷控表準則!$C$45:$D$46</definedName>
    <definedName name="規四房A">[38]銷控表準則!$C$3:$D$4</definedName>
    <definedName name="規四房B">[38]銷控表準則!$C$19:$D$20</definedName>
    <definedName name="規四房有">[38]銷控表準則!$C$36:$D$37</definedName>
    <definedName name="規四房無">[38]銷控表準則!$C$43:$D$44</definedName>
    <definedName name="許文傑">#REF!</definedName>
    <definedName name="許益寧">#REF!</definedName>
    <definedName name="陳亭予月">[41]準則!#REF!</definedName>
    <definedName name="陳炳榮">#REF!</definedName>
    <definedName name="陳美月">#REF!</definedName>
    <definedName name="陳泰成">#REF!</definedName>
    <definedName name="陳泰成交">#REF!</definedName>
    <definedName name="陳泰成預">#REF!</definedName>
    <definedName name="陳泰成實">#REF!</definedName>
    <definedName name="陳素琴">#REF!</definedName>
    <definedName name="陳慧珊">#REF!</definedName>
    <definedName name="博觀列印餘屋月報表">[12]!博觀列印餘屋月報表</definedName>
    <definedName name="博觀建立合約會審模式">[12]!博觀建立合約會審模式</definedName>
    <definedName name="博觀移除房車別小計">[12]!博觀移除房車別小計</definedName>
    <definedName name="博觀移除損益小計">[12]!博觀移除損益小計</definedName>
    <definedName name="博觀設置房地別小計">[12]!博觀設置房地別小計</definedName>
    <definedName name="博觀設置損益小計">[12]!博觀設置損益小計</definedName>
    <definedName name="博觀報表中移除總計">[12]!博觀報表中移除總計</definedName>
    <definedName name="博觀報表中增加總計">[12]!博觀報表中增加總計</definedName>
    <definedName name="媒體">#REF!</definedName>
    <definedName name="媒體回饋">#REF!</definedName>
    <definedName name="換屋">[39]準則!$R$73:$U$74</definedName>
    <definedName name="棟C1">[35]住宅價目!$W$1:$Y$2</definedName>
    <definedName name="棟C16F">[35]住宅價目!$W$37:$Y$42</definedName>
    <definedName name="棟C1售">[35]住宅價目!$W$20:$X$21</definedName>
    <definedName name="棟C1售6F">[35]住宅價目!$W$88:$X$93</definedName>
    <definedName name="棟C2">[35]住宅價目!$W$3:$Y$4</definedName>
    <definedName name="棟C26F">[35]住宅價目!$W$43:$Y$48</definedName>
    <definedName name="棟C2售">[35]住宅價目!$W$22:$X$23</definedName>
    <definedName name="棟C2售6F">[35]住宅價目!$W$94:$X$99</definedName>
    <definedName name="棟C3">[35]住宅價目!$W$5:$Y$6</definedName>
    <definedName name="棟C36F">[35]住宅價目!$W$49:$Y$54</definedName>
    <definedName name="棟C3售">[35]住宅價目!$W$24:$X$25</definedName>
    <definedName name="棟C3售6F">[35]住宅價目!$W$100:$X$105</definedName>
    <definedName name="棟C5">[35]住宅價目!$W$7:$Y$8</definedName>
    <definedName name="棟C56F">[35]住宅價目!$W$55:$Y$60</definedName>
    <definedName name="棟C5售">[35]住宅價目!$W$26:$X$27</definedName>
    <definedName name="棟C5售6F">[35]住宅價目!$W$106:$X$111</definedName>
    <definedName name="游傳偉交">#REF!</definedName>
    <definedName name="游傳偉預">#REF!</definedName>
    <definedName name="游傳偉實">#REF!</definedName>
    <definedName name="牌價總">#REF!</definedName>
    <definedName name="登錄">#REF!</definedName>
    <definedName name="費用">[47]費用!$A$1:$G$65536</definedName>
    <definedName name="週報">'[62]行動方案-稽核室(92年)'!$A$1:$S$37</definedName>
    <definedName name="進駐日">#REF!</definedName>
    <definedName name="階一">[39]調價!$N$4:$Q$5</definedName>
    <definedName name="階一累">[39]調價!$O$4:$R$5</definedName>
    <definedName name="階七">[41]調價!#REF!</definedName>
    <definedName name="階九">[41]調價!#REF!</definedName>
    <definedName name="階二">[41]調價!#REF!</definedName>
    <definedName name="階二累">[39]調價!$O$10:$R$11</definedName>
    <definedName name="階三">[41]調價!#REF!</definedName>
    <definedName name="階五">[41]調價!#REF!</definedName>
    <definedName name="階六">[41]調價!#REF!</definedName>
    <definedName name="階四">[41]調價!#REF!</definedName>
    <definedName name="集團員購">[39]準則!$G$78:$J$79</definedName>
    <definedName name="黃志松交">#REF!</definedName>
    <definedName name="黃志松預">#REF!</definedName>
    <definedName name="黃志松實">#REF!</definedName>
    <definedName name="黃明輝">#REF!</definedName>
    <definedName name="黃鴻文交">#REF!</definedName>
    <definedName name="黃鴻文預">#REF!</definedName>
    <definedName name="黃鴻文實">#REF!</definedName>
    <definedName name="新">#REF!</definedName>
    <definedName name="新公園列印餘屋月報表">[12]!新公園列印餘屋月報表</definedName>
    <definedName name="新公園取消合約會審模式">[12]!新公園取消合約會審模式</definedName>
    <definedName name="新公園建立合約會審模式">[12]!新公園建立合約會審模式</definedName>
    <definedName name="新公園移除房車別小計">[12]!新公園移除房車別小計</definedName>
    <definedName name="新公園移除損益小計">[12]!新公園移除損益小計</definedName>
    <definedName name="新公園設置房車別小計">[12]!新公園設置房車別小計</definedName>
    <definedName name="新公園設置損益小計">[12]!新公園設置損益小計</definedName>
    <definedName name="新公園報表中移除總計">[12]!新公園報表中移除總計</definedName>
    <definedName name="新公園報表中增加總計">[12]!新公園報表中增加總計</definedName>
    <definedName name="新分析表">#REF!</definedName>
    <definedName name="新竹媒">[39]準則!$A$80:$E$81</definedName>
    <definedName name="新來訪目標">[56]新來訪目標!$1:$1048576</definedName>
    <definedName name="新建檔">'[46]作業量(基本工作量)'!$CC$1:$DN$65536</definedName>
    <definedName name="新約訪">#REF!</definedName>
    <definedName name="新莊媒">[39]準則!$A$72:$E$73</definedName>
    <definedName name="會">'[62]行動方案-稽核室(92年)'!$A$1:$S$37</definedName>
    <definedName name="楊仁鈞">#REF!</definedName>
    <definedName name="業">#REF!</definedName>
    <definedName name="業別">#REF!</definedName>
    <definedName name="業績">#REF!</definedName>
    <definedName name="準備金有效">#REF!</definedName>
    <definedName name="準備金停效">#REF!</definedName>
    <definedName name="經營檢討表">#REF!</definedName>
    <definedName name="萬華">[61]準則!#REF!</definedName>
    <definedName name="詢問重點">#REF!</definedName>
    <definedName name="該">#REF!</definedName>
    <definedName name="資料">#REF!</definedName>
    <definedName name="電開">'[46]作業量(基本工作量)'!$C$1:$AN$65536</definedName>
    <definedName name="電開媒">[39]準則!$G$70:$J$71</definedName>
    <definedName name="電腦資訊">[39]準則!$L$68:$O$69</definedName>
    <definedName name="嘉琳月">[41]準則!#REF!</definedName>
    <definedName name="熊大成">#REF!</definedName>
    <definedName name="需求">#REF!</definedName>
    <definedName name="價目">[35]住宅價目!$A$5:$U$599</definedName>
    <definedName name="價目表">#REF!</definedName>
    <definedName name="價位">#REF!</definedName>
    <definedName name="價位建議">#REF!</definedName>
    <definedName name="價差">#REF!</definedName>
    <definedName name="價差C1F4">#REF!</definedName>
    <definedName name="價差C1F5">#REF!</definedName>
    <definedName name="價差C1F6">#REF!</definedName>
    <definedName name="價差表">'[62]價位建議-定案'!$A$68:$J$91</definedName>
    <definedName name="劉長泰交">#REF!</definedName>
    <definedName name="劉長泰預">#REF!</definedName>
    <definedName name="劉長泰實">#REF!</definedName>
    <definedName name="劉增泰交">#REF!</definedName>
    <definedName name="劉增泰預">#REF!</definedName>
    <definedName name="劉增泰實">#REF!</definedName>
    <definedName name="墨線">#REF!</definedName>
    <definedName name="樁腳">'[46]作業量(基本工作量)'!$DP$1:$FB$65536</definedName>
    <definedName name="樓中樓1">[39]調價!$AG$3:$AK$4</definedName>
    <definedName name="樓中樓一">[39]調價!$AP$7:$AU$8</definedName>
    <definedName name="樓中樓一累">[39]調價!$AQ$7:$AV$8</definedName>
    <definedName name="樓中樓二">[39]調價!$AP$13:$AU$14</definedName>
    <definedName name="樓中樓二累">[39]調價!$AQ$13:$AV$14</definedName>
    <definedName name="樓中樓三">[39]調價!$AP$19:$AU$20</definedName>
    <definedName name="樓中樓三累">[39]調價!$AQ$19:$AV$20</definedName>
    <definedName name="樓中樓五">[39]調價!$AP$31:$AU$32</definedName>
    <definedName name="樓中樓五累">[39]調價!$AP$31:$AV$32</definedName>
    <definedName name="樓中樓四">[39]調價!$AP$25:$AU$26</definedName>
    <definedName name="樓中樓四累">[39]調價!$AQ$25:$AV$26</definedName>
    <definedName name="樓中樓總">#REF!</definedName>
    <definedName name="標準底">#REF!</definedName>
    <definedName name="標準層">[35]住宅價目!$W$15:$X$16</definedName>
    <definedName name="標準層售">[35]住宅價目!$AA$20:$AB$21</definedName>
    <definedName name="標準總">#REF!</definedName>
    <definedName name="獎金比例">#REF!</definedName>
    <definedName name="複來訪目標">[56]複來訪目標!$1:$1048576</definedName>
    <definedName name="複來訪排名">#REF!</definedName>
    <definedName name="調價紀錄">#REF!</definedName>
    <definedName name="調價紀錄1">#REF!</definedName>
    <definedName name="調價紀錄預成公">#REF!</definedName>
    <definedName name="調價記錄">#REF!</definedName>
    <definedName name="調價記錄工">#REF!</definedName>
    <definedName name="調價記錄地主">#REF!</definedName>
    <definedName name="調整保費">#REF!</definedName>
    <definedName name="銷況">[47]銷況!$A$1:$IV$1000</definedName>
    <definedName name="銷況1">[61]銷況!$1:$1048576</definedName>
    <definedName name="銷售明細">[35]銷售明細!$A:$IV</definedName>
    <definedName name="銷售總表範圍">[63]銷售總表!$A$5:$Y$10</definedName>
    <definedName name="機車一">[39]調價!$BD$7:$BI$8</definedName>
    <definedName name="機車一累">[39]調價!$BE$7:$BJ$8</definedName>
    <definedName name="機車二">[39]調價!$BD$13:$BI$14</definedName>
    <definedName name="機車二累">[39]調價!$BE$13:$BJ$14</definedName>
    <definedName name="機械車位1">[39]調價!$AQ$3:$AU$4</definedName>
    <definedName name="歷年統計">#REF!</definedName>
    <definedName name="盧光華">#REF!</definedName>
    <definedName name="賴志鴻">#REF!</definedName>
    <definedName name="賴延壽">#REF!</definedName>
    <definedName name="辦1">#REF!</definedName>
    <definedName name="辦1F1">#REF!</definedName>
    <definedName name="辦車1">#REF!</definedName>
    <definedName name="辦階1">#REF!</definedName>
    <definedName name="龜山媒">[39]準則!$A$66:$E$67</definedName>
    <definedName name="營業部1">#REF!</definedName>
    <definedName name="營業部10">#REF!</definedName>
    <definedName name="營業部2">#REF!</definedName>
    <definedName name="營業部3">#REF!</definedName>
    <definedName name="營業部4">#REF!</definedName>
    <definedName name="營業部5">#REF!</definedName>
    <definedName name="營業部6">#REF!</definedName>
    <definedName name="營業部7">#REF!</definedName>
    <definedName name="營業部8">#REF!</definedName>
    <definedName name="營業部9">#REF!</definedName>
    <definedName name="總坪數">#REF!</definedName>
    <definedName name="總表">[64]部!$A:$IV</definedName>
    <definedName name="總表趙">[48]趙!$A:$IV</definedName>
    <definedName name="總銷坪">[65]總銷坪!$A$1:$C$65536</definedName>
    <definedName name="績效">[47]績效!$K$1:$AJ$248</definedName>
    <definedName name="績效統計表">#REF!</definedName>
    <definedName name="績效圖表">#REF!</definedName>
    <definedName name="薪點表">#REF!</definedName>
    <definedName name="舊客戶">[39]準則!$G$74:$J$75</definedName>
    <definedName name="舊面積">[66]舊面積!$C$4:$S$309</definedName>
    <definedName name="舊統計表">#REF!</definedName>
    <definedName name="舊檔">[39]準則!$G$84:$J$85</definedName>
    <definedName name="顏小禎交">#REF!</definedName>
    <definedName name="顏小禎預">#REF!</definedName>
    <definedName name="顏小禎實">#REF!</definedName>
    <definedName name="羅">#REF!</definedName>
    <definedName name="蘆竹媒">[39]準則!$A$64:$E$65</definedName>
  </definedNames>
  <calcPr fullCalcOnLoad="1"/>
</workbook>
</file>

<file path=xl/sharedStrings.xml><?xml version="1.0" encoding="utf-8"?>
<sst xmlns="http://schemas.openxmlformats.org/spreadsheetml/2006/main" count="1714" uniqueCount="610">
  <si>
    <t>格式：轉置排行/總經指標–總經指標代號表//文字///日期/</t>
  </si>
  <si>
    <t>基準日:最近一日</t>
  </si>
  <si>
    <t>更新標題:是</t>
  </si>
  <si>
    <t>代號</t>
  </si>
  <si>
    <t>IMF00</t>
  </si>
  <si>
    <t>IMF03</t>
  </si>
  <si>
    <t>IMF14</t>
  </si>
  <si>
    <t>IMF40</t>
  </si>
  <si>
    <t>IMF42</t>
  </si>
  <si>
    <t>百分比位置</t>
  </si>
  <si>
    <t>表格欄位/代號種類^=^Z^;^週期編號^=^D^;^AllCMenuIDs^=^M050^;^是否轉置^=^True^;^檢視方式^=^2^;^AllFields^=^數值^;^MainTable^=^^;^ListType^=^B010^;^SelectDate^=^TOP 150^;^SelectCMenuID^=^M050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B010^;^單項目比較欄位^=^^;^單項目比較欄位編號^=^^;^表格類型^=^</t>
  </si>
  <si>
    <t>資料日期/</t>
  </si>
  <si>
    <t>參考標題</t>
  </si>
  <si>
    <t>名稱</t>
  </si>
  <si>
    <t>實質GDP成長率(台灣)</t>
  </si>
  <si>
    <t>實質GDP成長率(中國)</t>
  </si>
  <si>
    <t>實質GDP成長率(美國)</t>
  </si>
  <si>
    <t>實質GDP成長率(全球)</t>
  </si>
  <si>
    <t>實質GDP成長率(歐元區)</t>
  </si>
  <si>
    <t>評等</t>
  </si>
  <si>
    <t>ABC分數</t>
  </si>
  <si>
    <t>重要總體經濟數據.數值/每一期/最近/150/遞增/月//</t>
  </si>
  <si>
    <t>198012數值</t>
  </si>
  <si>
    <t>評等定義</t>
  </si>
  <si>
    <t>≧</t>
  </si>
  <si>
    <t>≦</t>
  </si>
  <si>
    <t>範圍大小</t>
  </si>
  <si>
    <t>分數</t>
  </si>
  <si>
    <t>重要總體經濟數據.數值</t>
  </si>
  <si>
    <t>198112數值</t>
  </si>
  <si>
    <t>A</t>
  </si>
  <si>
    <t>198212數值</t>
  </si>
  <si>
    <t>B</t>
  </si>
  <si>
    <t>198312數值</t>
  </si>
  <si>
    <t>C</t>
  </si>
  <si>
    <t>198412數值</t>
  </si>
  <si>
    <t>198512數值</t>
  </si>
  <si>
    <t>198612數值</t>
  </si>
  <si>
    <t>198712數值</t>
  </si>
  <si>
    <t>198812數值</t>
  </si>
  <si>
    <t>198912數值</t>
  </si>
  <si>
    <t>199012數值</t>
  </si>
  <si>
    <t>199112數值</t>
  </si>
  <si>
    <t>199212數值</t>
  </si>
  <si>
    <t>199312數值</t>
  </si>
  <si>
    <t>199412數值</t>
  </si>
  <si>
    <t>199512數值</t>
  </si>
  <si>
    <t>199612數值</t>
  </si>
  <si>
    <t>199712數值</t>
  </si>
  <si>
    <t>199812數值</t>
  </si>
  <si>
    <t>199912數值</t>
  </si>
  <si>
    <t>200012數值</t>
  </si>
  <si>
    <t>200112數值</t>
  </si>
  <si>
    <t>200212數值</t>
  </si>
  <si>
    <t>200312數值</t>
  </si>
  <si>
    <t>200412數值</t>
  </si>
  <si>
    <t>200512數值</t>
  </si>
  <si>
    <t>200612數值</t>
  </si>
  <si>
    <t>200712數值</t>
  </si>
  <si>
    <t>200812數值</t>
  </si>
  <si>
    <t>200912數值</t>
  </si>
  <si>
    <t>201012數值</t>
  </si>
  <si>
    <t>201112數值</t>
  </si>
  <si>
    <t>201212數值</t>
  </si>
  <si>
    <t>201312數值</t>
  </si>
  <si>
    <t>201412數值</t>
  </si>
  <si>
    <t>201512數值</t>
  </si>
  <si>
    <t>201612數值</t>
  </si>
  <si>
    <t>201712數值</t>
  </si>
  <si>
    <t>201812數值</t>
  </si>
  <si>
    <t>201912數值</t>
  </si>
  <si>
    <t>202012數值</t>
  </si>
  <si>
    <t>202112數值</t>
  </si>
  <si>
    <t>202212數值</t>
  </si>
  <si>
    <t>202312數值</t>
  </si>
  <si>
    <t>202412數值</t>
  </si>
  <si>
    <t>202512數值</t>
  </si>
  <si>
    <t>202612數值</t>
  </si>
  <si>
    <t>&gt;=該值為A</t>
  </si>
  <si>
    <t>&lt;=該值為C</t>
  </si>
  <si>
    <t>格式：一般總覽/#MWO/指定/20200101-20241231/遞增/重要國際指數/日期/月////每一期</t>
  </si>
  <si>
    <t>表格欄位/代號種類^=^Z^;^週期編號^=^D^;^AllCMenuIDs^=^M029^;^是否轉置^=^False^;^檢視方式^=^1^;^AllFields^=^收盤價^;^MainTable^=^M029^;^ListType^=^日期^;^SelectDate^=^20000103-20170705^;^SelectCMenuID^=^M029^;^SelectDate種類^=^3^;^AllFieldsNO^=^^;^自訂欄位公式^=^^;^自訂欄位Where條件^=^^;^多期數值處理方式^=^1^;^多欄指定個股方式^=^1^;^多欄指定個股^=^#998405.T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</si>
  <si>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重要國際指數.收盤價/</t>
  </si>
  <si>
    <t>收盤價</t>
  </si>
  <si>
    <t>#MWO MSCI世界指數</t>
  </si>
  <si>
    <t>年月</t>
  </si>
  <si>
    <t>格式：轉置排行///文字/- -//日期//否//否</t>
  </si>
  <si>
    <t>股票代號</t>
  </si>
  <si>
    <t>TWA00</t>
  </si>
  <si>
    <t>TWA50</t>
  </si>
  <si>
    <t>TWA51</t>
  </si>
  <si>
    <t>TWA54</t>
  </si>
  <si>
    <t>TWC00</t>
  </si>
  <si>
    <t>表格欄位/代號種類^=^S^;^週期編號^=^D^;^AllCMenuIDs^=^M080^;^是否轉置^=^True^;^檢視方式^=^2^;^AllFields^=^月ADX(14)^;^MainTable^=^^;^ListType^=^^;^SelectDate^=^TOP 15^;^SelectCMenuID^=^M080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</si>
  <si>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股票名稱</t>
  </si>
  <si>
    <t>加權指數</t>
  </si>
  <si>
    <t>台灣50指數</t>
  </si>
  <si>
    <t>台灣中型100指數</t>
  </si>
  <si>
    <t>台灣高股息指數</t>
  </si>
  <si>
    <t>OTC指數</t>
  </si>
  <si>
    <t>日常用技術指標表.月ADX(14)/每一期/最近/15/遞增/月//</t>
  </si>
  <si>
    <t>20240531月ADX(14)</t>
  </si>
  <si>
    <t>日常用技術指標表.月ADX(14)</t>
  </si>
  <si>
    <t>20240628月ADX(14)</t>
  </si>
  <si>
    <t>20240731月ADX(14)</t>
  </si>
  <si>
    <t>20240830月ADX(14)</t>
  </si>
  <si>
    <t>20240930月ADX(14)</t>
  </si>
  <si>
    <t>20241030月ADX(14)</t>
  </si>
  <si>
    <t>20241129月ADX(14)</t>
  </si>
  <si>
    <t>20241231月ADX(14)</t>
  </si>
  <si>
    <t>20250122月ADX(14)</t>
  </si>
  <si>
    <t>20250131月ADX(14)</t>
  </si>
  <si>
    <t>20250227月ADX(14)</t>
  </si>
  <si>
    <t>20250228月ADX(14)</t>
  </si>
  <si>
    <t>20250331月ADX(14)</t>
  </si>
  <si>
    <t>20250430月ADX(14)</t>
  </si>
  <si>
    <t>20250529月ADX(14)</t>
  </si>
  <si>
    <t>20250530月ADX(14)</t>
  </si>
  <si>
    <t>20250630月ADX(14)</t>
  </si>
  <si>
    <t>20250711月ADX(14)</t>
  </si>
  <si>
    <t>表格欄位/代號種類^=^S^;^週期編號^=^D^;^AllCMenuIDs^=^M080^;^是否轉置^=^True^;^檢視方式^=^2^;^AllFields^=^月DIF^;^MainTable^=^^;^ListType^=^^;^SelectDate^=^TOP 15^;^SelectCMenuID^=^M080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</si>
  <si>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日常用技術指標表.月DIF/每一期/最近/15/遞增/月//</t>
  </si>
  <si>
    <t>20240531月DIF</t>
  </si>
  <si>
    <t>日常用技術指標表.月DIF</t>
  </si>
  <si>
    <t>20240628月DIF</t>
  </si>
  <si>
    <t>20240731月DIF</t>
  </si>
  <si>
    <t>20240830月DIF</t>
  </si>
  <si>
    <t>20240930月DIF</t>
  </si>
  <si>
    <t>20241030月DIF</t>
  </si>
  <si>
    <t>20241129月DIF</t>
  </si>
  <si>
    <t>20241231月DIF</t>
  </si>
  <si>
    <t>20250122月DIF</t>
  </si>
  <si>
    <t>20250131月DIF</t>
  </si>
  <si>
    <t>20250227月DIF</t>
  </si>
  <si>
    <t>20250228月DIF</t>
  </si>
  <si>
    <t>20250331月DIF</t>
  </si>
  <si>
    <t>20250430月DIF</t>
  </si>
  <si>
    <t>20250529月DIF</t>
  </si>
  <si>
    <t>20250530月DIF</t>
  </si>
  <si>
    <t>20250630月DIF</t>
  </si>
  <si>
    <t>20250711月DIF</t>
  </si>
  <si>
    <t>表格欄位/代號種類^=^S^;^週期編號^=^D^;^AllCMenuIDs^=^M080^;^是否轉置^=^True^;^檢視方式^=^2^;^AllFields^=^月MACD^;^MainTable^=^^;^ListType^=^^;^SelectDate^=^20200131-^;^SelectCMenuID^=^M080^;^SelectDate種類^=^3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</si>
  <si>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日常用技術指標表.月MACD/每一期/指定/20200131-/遞增/月//</t>
  </si>
  <si>
    <t>20200131月MACD</t>
  </si>
  <si>
    <t>日常用技術指標表.月MACD</t>
  </si>
  <si>
    <t>20200227月MACD</t>
  </si>
  <si>
    <t>20200331月MACD</t>
  </si>
  <si>
    <t>20200430月MACD</t>
  </si>
  <si>
    <t>20200529月MACD</t>
  </si>
  <si>
    <t>20200630月MACD</t>
  </si>
  <si>
    <t>20200731月MACD</t>
  </si>
  <si>
    <t>20200831月MACD</t>
  </si>
  <si>
    <t>20200930月MACD</t>
  </si>
  <si>
    <t>20201030月MACD</t>
  </si>
  <si>
    <t>20201130月MACD</t>
  </si>
  <si>
    <t>20201231月MACD</t>
  </si>
  <si>
    <t>20210129月MACD</t>
  </si>
  <si>
    <t>20210226月MACD</t>
  </si>
  <si>
    <t>20210331月MACD</t>
  </si>
  <si>
    <t>20210429月MACD</t>
  </si>
  <si>
    <t>20210531月MACD</t>
  </si>
  <si>
    <t>20210630月MACD</t>
  </si>
  <si>
    <t>20210730月MACD</t>
  </si>
  <si>
    <t>20210831月MACD</t>
  </si>
  <si>
    <t>20210930月MACD</t>
  </si>
  <si>
    <t>20211029月MACD</t>
  </si>
  <si>
    <t>20211130月MACD</t>
  </si>
  <si>
    <t>20211230月MACD</t>
  </si>
  <si>
    <t>20220126月MACD</t>
  </si>
  <si>
    <t>20220225月MACD</t>
  </si>
  <si>
    <t>20220331月MACD</t>
  </si>
  <si>
    <t>20220429月MACD</t>
  </si>
  <si>
    <t>20220531月MACD</t>
  </si>
  <si>
    <t>20220630月MACD</t>
  </si>
  <si>
    <t>20220729月MACD</t>
  </si>
  <si>
    <t>20220831月MACD</t>
  </si>
  <si>
    <t>20220930月MACD</t>
  </si>
  <si>
    <t>20221031月MACD</t>
  </si>
  <si>
    <t>20221130月MACD</t>
  </si>
  <si>
    <t>20221230月MACD</t>
  </si>
  <si>
    <t>20230131月MACD</t>
  </si>
  <si>
    <t>20230224月MACD</t>
  </si>
  <si>
    <t>20230331月MACD</t>
  </si>
  <si>
    <t>20230428月MACD</t>
  </si>
  <si>
    <t>20230531月MACD</t>
  </si>
  <si>
    <t>20230630月MACD</t>
  </si>
  <si>
    <t>20230731月MACD</t>
  </si>
  <si>
    <t>20230831月MACD</t>
  </si>
  <si>
    <t>20230928月MACD</t>
  </si>
  <si>
    <t>20231031月MACD</t>
  </si>
  <si>
    <t>20231130月MACD</t>
  </si>
  <si>
    <t>20231229月MACD</t>
  </si>
  <si>
    <t>20240131月MACD</t>
  </si>
  <si>
    <t>20240229月MACD</t>
  </si>
  <si>
    <t>20240329月MACD</t>
  </si>
  <si>
    <t>20240430月MACD</t>
  </si>
  <si>
    <t>20240531月MACD</t>
  </si>
  <si>
    <t>20240628月MACD</t>
  </si>
  <si>
    <t>20240731月MACD</t>
  </si>
  <si>
    <t>20240830月MACD</t>
  </si>
  <si>
    <t>20240930月MACD</t>
  </si>
  <si>
    <t>20241030月MACD</t>
  </si>
  <si>
    <t>20241129月MACD</t>
  </si>
  <si>
    <t>20241231月MACD</t>
  </si>
  <si>
    <t>20250122月MACD</t>
  </si>
  <si>
    <t>20250131月MACD</t>
  </si>
  <si>
    <t>20250227月MACD</t>
  </si>
  <si>
    <t>20250228月MACD</t>
  </si>
  <si>
    <t>20250331月MACD</t>
  </si>
  <si>
    <t>20250430月MACD</t>
  </si>
  <si>
    <t>20250529月MACD</t>
  </si>
  <si>
    <t>20250530月MACD</t>
  </si>
  <si>
    <t>20250630月MACD</t>
  </si>
  <si>
    <t>20250711月MACD</t>
  </si>
  <si>
    <t>表格欄位/代號種類^=^S^;^週期編號^=^D^;^AllCMenuIDs^=^M255^;^是否轉置^=^True^;^檢視方式^=^2^;^AllFields^=^股價淨值比^;^MainTable^=^^;^ListType^=^^;^SelectDate^=^TOP 24^;^SelectCMenuID^=^M255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</si>
  <si>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月收盤表排行.股價淨值比/每一期/最近/24/遞增/月//</t>
  </si>
  <si>
    <t>202308股價淨值比</t>
  </si>
  <si>
    <t>月收盤表排行.股價淨值比</t>
  </si>
  <si>
    <t>202309股價淨值比</t>
  </si>
  <si>
    <t>202310股價淨值比</t>
  </si>
  <si>
    <t>202311股價淨值比</t>
  </si>
  <si>
    <t>202312股價淨值比</t>
  </si>
  <si>
    <t>202401股價淨值比</t>
  </si>
  <si>
    <t>202402股價淨值比</t>
  </si>
  <si>
    <t>202403股價淨值比</t>
  </si>
  <si>
    <t>202404股價淨值比</t>
  </si>
  <si>
    <t>202405股價淨值比</t>
  </si>
  <si>
    <t>202406股價淨值比</t>
  </si>
  <si>
    <t>202407股價淨值比</t>
  </si>
  <si>
    <t>202408股價淨值比</t>
  </si>
  <si>
    <t>202409股價淨值比</t>
  </si>
  <si>
    <t>202410股價淨值比</t>
  </si>
  <si>
    <t>202411股價淨值比</t>
  </si>
  <si>
    <t>202412股價淨值比</t>
  </si>
  <si>
    <t>202501股價淨值比</t>
  </si>
  <si>
    <t>202502股價淨值比</t>
  </si>
  <si>
    <t>202503股價淨值比</t>
  </si>
  <si>
    <t>202504股價淨值比</t>
  </si>
  <si>
    <t>202505股價淨值比</t>
  </si>
  <si>
    <t>202506股價淨值比</t>
  </si>
  <si>
    <t>202507股價淨值比</t>
  </si>
  <si>
    <t>格式：轉置排行///文字/- -//日期/</t>
  </si>
  <si>
    <t>#GSPCSP</t>
  </si>
  <si>
    <t>表格欄位/代號種類^=^S^;^週期編號^=^D^;^AllCMenuIDs^=^M255^;^是否轉置^=^True^;^檢視方式^=^2^;^AllFields^=^股價淨值比^;^MainTable^=^^;^ListType^=^^;^SelectDate^=^TOP 150^;^SelectCMenuID^=^M255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</si>
  <si>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月收盤表排行.本益比/每一期/最近/150/遞增/月//</t>
  </si>
  <si>
    <t>201302本益比</t>
  </si>
  <si>
    <t>- -</t>
  </si>
  <si>
    <t>月收盤表排行.本益比</t>
  </si>
  <si>
    <t>201303本益比</t>
  </si>
  <si>
    <t>201304本益比</t>
  </si>
  <si>
    <t>201305本益比</t>
  </si>
  <si>
    <t>201306本益比</t>
  </si>
  <si>
    <t>201307本益比</t>
  </si>
  <si>
    <t>201308本益比</t>
  </si>
  <si>
    <t>201309本益比</t>
  </si>
  <si>
    <t>201310本益比</t>
  </si>
  <si>
    <t>201311本益比</t>
  </si>
  <si>
    <t>201312本益比</t>
  </si>
  <si>
    <t>201401本益比</t>
  </si>
  <si>
    <t>201402本益比</t>
  </si>
  <si>
    <t>201403本益比</t>
  </si>
  <si>
    <t>201404本益比</t>
  </si>
  <si>
    <t>201405本益比</t>
  </si>
  <si>
    <t>201406本益比</t>
  </si>
  <si>
    <t>201407本益比</t>
  </si>
  <si>
    <t>201408本益比</t>
  </si>
  <si>
    <t>201409本益比</t>
  </si>
  <si>
    <t>201410本益比</t>
  </si>
  <si>
    <t>201411本益比</t>
  </si>
  <si>
    <t>201412本益比</t>
  </si>
  <si>
    <t>201501本益比</t>
  </si>
  <si>
    <t>201502本益比</t>
  </si>
  <si>
    <t>201503本益比</t>
  </si>
  <si>
    <t>201504本益比</t>
  </si>
  <si>
    <t>201505本益比</t>
  </si>
  <si>
    <t>201506本益比</t>
  </si>
  <si>
    <t>201507本益比</t>
  </si>
  <si>
    <t>201508本益比</t>
  </si>
  <si>
    <t>201509本益比</t>
  </si>
  <si>
    <t>201510本益比</t>
  </si>
  <si>
    <t>201511本益比</t>
  </si>
  <si>
    <t>201512本益比</t>
  </si>
  <si>
    <t>201601本益比</t>
  </si>
  <si>
    <t>201602本益比</t>
  </si>
  <si>
    <t>201603本益比</t>
  </si>
  <si>
    <t>201604本益比</t>
  </si>
  <si>
    <t>201605本益比</t>
  </si>
  <si>
    <t>201606本益比</t>
  </si>
  <si>
    <t>201607本益比</t>
  </si>
  <si>
    <t>201608本益比</t>
  </si>
  <si>
    <t>201609本益比</t>
  </si>
  <si>
    <t>201610本益比</t>
  </si>
  <si>
    <t>201611本益比</t>
  </si>
  <si>
    <t>201612本益比</t>
  </si>
  <si>
    <t>201701本益比</t>
  </si>
  <si>
    <t>201702本益比</t>
  </si>
  <si>
    <t>201703本益比</t>
  </si>
  <si>
    <t>201704本益比</t>
  </si>
  <si>
    <t>201705本益比</t>
  </si>
  <si>
    <t>201706本益比</t>
  </si>
  <si>
    <t>201707本益比</t>
  </si>
  <si>
    <t>201708本益比</t>
  </si>
  <si>
    <t>201709本益比</t>
  </si>
  <si>
    <t>201710本益比</t>
  </si>
  <si>
    <t>201711本益比</t>
  </si>
  <si>
    <t>201712本益比</t>
  </si>
  <si>
    <t>201801本益比</t>
  </si>
  <si>
    <t>201802本益比</t>
  </si>
  <si>
    <t>201803本益比</t>
  </si>
  <si>
    <t>201804本益比</t>
  </si>
  <si>
    <t>201805本益比</t>
  </si>
  <si>
    <t>201806本益比</t>
  </si>
  <si>
    <t>201807本益比</t>
  </si>
  <si>
    <t>201808本益比</t>
  </si>
  <si>
    <t>201809本益比</t>
  </si>
  <si>
    <t>201810本益比</t>
  </si>
  <si>
    <t>201811本益比</t>
  </si>
  <si>
    <t>201812本益比</t>
  </si>
  <si>
    <t>201901本益比</t>
  </si>
  <si>
    <t>201902本益比</t>
  </si>
  <si>
    <t>201903本益比</t>
  </si>
  <si>
    <t>201904本益比</t>
  </si>
  <si>
    <t>201905本益比</t>
  </si>
  <si>
    <t>201906本益比</t>
  </si>
  <si>
    <t>201907本益比</t>
  </si>
  <si>
    <t>201908本益比</t>
  </si>
  <si>
    <t>201909本益比</t>
  </si>
  <si>
    <t>201910本益比</t>
  </si>
  <si>
    <t>201911本益比</t>
  </si>
  <si>
    <t>201912本益比</t>
  </si>
  <si>
    <t>202001本益比</t>
  </si>
  <si>
    <t>202002本益比</t>
  </si>
  <si>
    <t>202003本益比</t>
  </si>
  <si>
    <t>202004本益比</t>
  </si>
  <si>
    <t>202005本益比</t>
  </si>
  <si>
    <t>202006本益比</t>
  </si>
  <si>
    <t>202007本益比</t>
  </si>
  <si>
    <t>202008本益比</t>
  </si>
  <si>
    <t>202009本益比</t>
  </si>
  <si>
    <t>202010本益比</t>
  </si>
  <si>
    <t>202011本益比</t>
  </si>
  <si>
    <t>202012本益比</t>
  </si>
  <si>
    <t>202101本益比</t>
  </si>
  <si>
    <t>202102本益比</t>
  </si>
  <si>
    <t>202103本益比</t>
  </si>
  <si>
    <t>202104本益比</t>
  </si>
  <si>
    <t>202105本益比</t>
  </si>
  <si>
    <t>202106本益比</t>
  </si>
  <si>
    <t>202107本益比</t>
  </si>
  <si>
    <t>202108本益比</t>
  </si>
  <si>
    <t>202109本益比</t>
  </si>
  <si>
    <t>202110本益比</t>
  </si>
  <si>
    <t>202111本益比</t>
  </si>
  <si>
    <t>202112本益比</t>
  </si>
  <si>
    <t>202201本益比</t>
  </si>
  <si>
    <t>202202本益比</t>
  </si>
  <si>
    <t>202203本益比</t>
  </si>
  <si>
    <t>202204本益比</t>
  </si>
  <si>
    <t>202205本益比</t>
  </si>
  <si>
    <t>202206本益比</t>
  </si>
  <si>
    <t>202207本益比</t>
  </si>
  <si>
    <t>202208本益比</t>
  </si>
  <si>
    <t>202209本益比</t>
  </si>
  <si>
    <t>202210本益比</t>
  </si>
  <si>
    <t>202211本益比</t>
  </si>
  <si>
    <t>202212本益比</t>
  </si>
  <si>
    <t>202301本益比</t>
  </si>
  <si>
    <t>202302本益比</t>
  </si>
  <si>
    <t>202303本益比</t>
  </si>
  <si>
    <t>202304本益比</t>
  </si>
  <si>
    <t>202305本益比</t>
  </si>
  <si>
    <t>202306本益比</t>
  </si>
  <si>
    <t>202307本益比</t>
  </si>
  <si>
    <t>202308本益比</t>
  </si>
  <si>
    <t>202309本益比</t>
  </si>
  <si>
    <t>202310本益比</t>
  </si>
  <si>
    <t>202311本益比</t>
  </si>
  <si>
    <t>202312本益比</t>
  </si>
  <si>
    <t>202401本益比</t>
  </si>
  <si>
    <t>202402本益比</t>
  </si>
  <si>
    <t>202403本益比</t>
  </si>
  <si>
    <t>202404本益比</t>
  </si>
  <si>
    <t>202405本益比</t>
  </si>
  <si>
    <t>202406本益比</t>
  </si>
  <si>
    <t>202407本益比</t>
  </si>
  <si>
    <t>202408本益比</t>
  </si>
  <si>
    <t>202409本益比</t>
  </si>
  <si>
    <t>202410本益比</t>
  </si>
  <si>
    <t>202411本益比</t>
  </si>
  <si>
    <t>202412本益比</t>
  </si>
  <si>
    <t>202501本益比</t>
  </si>
  <si>
    <t>202502本益比</t>
  </si>
  <si>
    <t>202503本益比</t>
  </si>
  <si>
    <t>202504本益比</t>
  </si>
  <si>
    <t>202505本益比</t>
  </si>
  <si>
    <t>202506本益比</t>
  </si>
  <si>
    <t>202507本益比</t>
  </si>
  <si>
    <t>格式：轉置排行/總經指標–總經指標代號表//文字/- -//日期//否//否</t>
  </si>
  <si>
    <t>51700</t>
  </si>
  <si>
    <t>51900</t>
  </si>
  <si>
    <t>52000</t>
  </si>
  <si>
    <t>52700</t>
  </si>
  <si>
    <t>52800</t>
  </si>
  <si>
    <t>52100</t>
  </si>
  <si>
    <t>表格欄位/代號種類^=^Z^;^週期編號^=^D^;^AllCMenuIDs^=^M050^;^是否轉置^=^True^;^檢視方式^=^2^;^AllFields^=^數值^;^MainTable^=^^;^ListType^=^B010^;^SelectDate^=^202001-^;^SelectCMenuID^=^M050^;^SelectDate種類^=^3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B010^;^單項目比較欄位^=^^;^單項目比較欄位編號^=^^;^表格類型^=^</t>
  </si>
  <si>
    <t>紐約證交所本益比</t>
  </si>
  <si>
    <t>倫敦證交所本益比</t>
  </si>
  <si>
    <t>德國證交所本益比</t>
  </si>
  <si>
    <t>上海證交所本益比</t>
  </si>
  <si>
    <t>深圳證交所本益比</t>
  </si>
  <si>
    <t>東京證交所本益比</t>
  </si>
  <si>
    <t>#GSPC</t>
  </si>
  <si>
    <t>#MXMU</t>
  </si>
  <si>
    <t>#SSEC</t>
  </si>
  <si>
    <t>重要總體經濟數據.數值/每一期/指定/202001-/遞增/月//</t>
  </si>
  <si>
    <t>202001數值</t>
  </si>
  <si>
    <t>202002數值</t>
  </si>
  <si>
    <t>202003數值</t>
  </si>
  <si>
    <t>202004數值</t>
  </si>
  <si>
    <t>202005數值</t>
  </si>
  <si>
    <t>202006數值</t>
  </si>
  <si>
    <t>202007數值</t>
  </si>
  <si>
    <t>202008數值</t>
  </si>
  <si>
    <t>202009數值</t>
  </si>
  <si>
    <t>202010數值</t>
  </si>
  <si>
    <t>202011數值</t>
  </si>
  <si>
    <t>202101數值</t>
  </si>
  <si>
    <t>202102數值</t>
  </si>
  <si>
    <t>202103數值</t>
  </si>
  <si>
    <t>202104數值</t>
  </si>
  <si>
    <t>202105數值</t>
  </si>
  <si>
    <t>202106數值</t>
  </si>
  <si>
    <t>202107數值</t>
  </si>
  <si>
    <t>202108數值</t>
  </si>
  <si>
    <t>202109數值</t>
  </si>
  <si>
    <t>202110數值</t>
  </si>
  <si>
    <t>202111數值</t>
  </si>
  <si>
    <t>202201數值</t>
  </si>
  <si>
    <t>202202數值</t>
  </si>
  <si>
    <t>202203數值</t>
  </si>
  <si>
    <t>202204數值</t>
  </si>
  <si>
    <t>202205數值</t>
  </si>
  <si>
    <t>202206數值</t>
  </si>
  <si>
    <t>202207數值</t>
  </si>
  <si>
    <t>202208數值</t>
  </si>
  <si>
    <t>202209數值</t>
  </si>
  <si>
    <t>202210數值</t>
  </si>
  <si>
    <t>202211數值</t>
  </si>
  <si>
    <t>202301數值</t>
  </si>
  <si>
    <t>202302數值</t>
  </si>
  <si>
    <t>202303數值</t>
  </si>
  <si>
    <t>202304數值</t>
  </si>
  <si>
    <t>202305數值</t>
  </si>
  <si>
    <t>202306數值</t>
  </si>
  <si>
    <t>202307數值</t>
  </si>
  <si>
    <t>202308數值</t>
  </si>
  <si>
    <t>202309數值</t>
  </si>
  <si>
    <t>202310數值</t>
  </si>
  <si>
    <t>202311數值</t>
  </si>
  <si>
    <t>202401數值</t>
  </si>
  <si>
    <t>202402數值</t>
  </si>
  <si>
    <t>202403數值</t>
  </si>
  <si>
    <t>202404數值</t>
  </si>
  <si>
    <t>202405數值</t>
  </si>
  <si>
    <t>202406數值</t>
  </si>
  <si>
    <t>202407數值</t>
  </si>
  <si>
    <t>202408數值</t>
  </si>
  <si>
    <t>202409數值</t>
  </si>
  <si>
    <t>202410數值</t>
  </si>
  <si>
    <t>202411數值</t>
  </si>
  <si>
    <t>202501數值</t>
  </si>
  <si>
    <t>202502數值</t>
  </si>
  <si>
    <t>202503數值</t>
  </si>
  <si>
    <t>202504數值</t>
  </si>
  <si>
    <t>格式：轉置排行/國際股市–國際重要指數//文字/- -//日期//否//否</t>
  </si>
  <si>
    <t>表格欄位/代號種類^=^Z^;^週期編號^=^D^;^AllCMenuIDs^=^M192^;^是否轉置^=^True^;^檢視方式^=^2^;^AllFields^=^乖離率(60)^;^MainTable^=^^;^ListType^=^B004^;^SelectDate^=^TOP 20^;^SelectCMenuID^=^M192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1^;^樣本表系統定義全部代號^=^B004^;^單項目比較欄位^=^^;^單項目比較欄位編號^=^^;^表格類型^=^</t>
  </si>
  <si>
    <t>S&amp;P 500指數</t>
  </si>
  <si>
    <t>MSCI新興歐洲指數</t>
  </si>
  <si>
    <t>上海綜合</t>
  </si>
  <si>
    <t>重要國際指數(技術指標).乖離率(60)/每一期/最近/20/遞增/月//最新</t>
  </si>
  <si>
    <t>20231229各代號最新一期乖離率(60)</t>
  </si>
  <si>
    <t>重要國際指數(技術指標).乖離率(60)</t>
  </si>
  <si>
    <t>20240131各代號最新一期乖離率(60)</t>
  </si>
  <si>
    <t>20240229各代號最新一期乖離率(60)</t>
  </si>
  <si>
    <t>20240329各代號最新一期乖離率(60)</t>
  </si>
  <si>
    <t>20240430各代號最新一期乖離率(60)</t>
  </si>
  <si>
    <t>20240531各代號最新一期乖離率(60)</t>
  </si>
  <si>
    <t>20240628各代號最新一期乖離率(60)</t>
  </si>
  <si>
    <t>20240731各代號最新一期乖離率(60)</t>
  </si>
  <si>
    <t>20240830各代號最新一期乖離率(60)</t>
  </si>
  <si>
    <t>20240930各代號最新一期乖離率(60)</t>
  </si>
  <si>
    <t>20241031各代號最新一期乖離率(60)</t>
  </si>
  <si>
    <t>20241129各代號最新一期乖離率(60)</t>
  </si>
  <si>
    <t>20241231各代號最新一期乖離率(60)</t>
  </si>
  <si>
    <t>20250131各代號最新一期乖離率(60)</t>
  </si>
  <si>
    <t>20250228各代號最新一期乖離率(60)</t>
  </si>
  <si>
    <t>20250331各代號最新一期乖離率(60)</t>
  </si>
  <si>
    <t>20250430各代號最新一期乖離率(60)</t>
  </si>
  <si>
    <t>20250530各代號最新一期乖離率(60)</t>
  </si>
  <si>
    <t>20250630各代號最新一期乖離率(60)</t>
  </si>
  <si>
    <t>20250711各代號最新一期乖離率(60)</t>
  </si>
  <si>
    <t>表格欄位/代號種類^=^S^;^週期編號^=^D^;^AllCMenuIDs^=^M080^;^是否轉置^=^True^;^檢視方式^=^2^;^AllFields^=^乖離率(60日)^;^MainTable^=^^;^ListType^=^^;^SelectDate^=^TOP 15^;^SelectCMenuID^=^M080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</si>
  <si>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日常用技術指標表.乖離率(60日)/每一期/最近/15/遞增/月//</t>
  </si>
  <si>
    <t>20240531乖離率(60日)</t>
  </si>
  <si>
    <t>日常用技術指標表.乖離率(60日)</t>
  </si>
  <si>
    <t>20240628乖離率(60日)</t>
  </si>
  <si>
    <t>20240731乖離率(60日)</t>
  </si>
  <si>
    <t>20240830乖離率(60日)</t>
  </si>
  <si>
    <t>20240930乖離率(60日)</t>
  </si>
  <si>
    <t>20241030乖離率(60日)</t>
  </si>
  <si>
    <t>20241129乖離率(60日)</t>
  </si>
  <si>
    <t>20241231乖離率(60日)</t>
  </si>
  <si>
    <t>20250122乖離率(60日)</t>
  </si>
  <si>
    <t>20250131乖離率(60日)</t>
  </si>
  <si>
    <t>20250227乖離率(60日)</t>
  </si>
  <si>
    <t>20250228乖離率(60日)</t>
  </si>
  <si>
    <t>20250331乖離率(60日)</t>
  </si>
  <si>
    <t>20250430乖離率(60日)</t>
  </si>
  <si>
    <t>20250529乖離率(60日)</t>
  </si>
  <si>
    <t>20250530乖離率(60日)</t>
  </si>
  <si>
    <t>20250630乖離率(60日)</t>
  </si>
  <si>
    <t>20250711乖離率(60日)</t>
  </si>
  <si>
    <t>指標</t>
  </si>
  <si>
    <t>單位</t>
  </si>
  <si>
    <t>製作年度</t>
  </si>
  <si>
    <t>← 換年度務必更新</t>
  </si>
  <si>
    <t>台灣領先指標</t>
  </si>
  <si>
    <t>值</t>
  </si>
  <si>
    <t>以下參閱Bloomberg</t>
  </si>
  <si>
    <t>月份</t>
  </si>
  <si>
    <t>月底</t>
  </si>
  <si>
    <t>月底(工作日)</t>
  </si>
  <si>
    <t>←
←</t>
  </si>
  <si>
    <t>特殊調整</t>
  </si>
  <si>
    <t>ISM製造業指數</t>
  </si>
  <si>
    <t>自</t>
  </si>
  <si>
    <t>台灣外銷訂單</t>
  </si>
  <si>
    <t>百萬
美元</t>
  </si>
  <si>
    <t>帶</t>
  </si>
  <si>
    <t>台灣工業生產
指數</t>
  </si>
  <si>
    <t>公</t>
  </si>
  <si>
    <t>台灣貿易收支</t>
  </si>
  <si>
    <t>十億
美元</t>
  </si>
  <si>
    <t>式</t>
  </si>
  <si>
    <t>台灣零售銷售</t>
  </si>
  <si>
    <t>十億
台幣</t>
  </si>
  <si>
    <t>檢</t>
  </si>
  <si>
    <t>台灣失業率</t>
  </si>
  <si>
    <t>%</t>
  </si>
  <si>
    <t>核</t>
  </si>
  <si>
    <t>台灣CPI</t>
  </si>
  <si>
    <t>正</t>
  </si>
  <si>
    <t>台灣M1B-M2</t>
  </si>
  <si>
    <t>確</t>
  </si>
  <si>
    <r>
      <t/>
    </r>
    <r>
      <rPr>
        <sz val="12"/>
        <color rgb="FF000000"/>
        <rFont val="細明體"/>
        <family val="2"/>
      </rPr>
      <t>乖離率</t>
    </r>
    <r>
      <rPr>
        <sz val="12"/>
        <color rgb="FF000000"/>
        <rFont val="Arial"/>
        <family val="2"/>
      </rPr>
      <t>(60</t>
    </r>
    <r>
      <rPr>
        <sz val="12"/>
        <color rgb="FF000000"/>
        <rFont val="細明體"/>
        <family val="2"/>
      </rPr>
      <t>日</t>
    </r>
    <r>
      <rPr>
        <sz val="12"/>
        <color rgb="FF000000"/>
        <rFont val="Arial"/>
        <family val="2"/>
      </rPr>
      <t>)</t>
    </r>
  </si>
  <si>
    <t>加權指數乖離率</t>
  </si>
  <si>
    <t>即</t>
  </si>
  <si>
    <t>OTC指數乖離率</t>
  </si>
  <si>
    <t>可</t>
  </si>
  <si>
    <t>加權指數MACD</t>
  </si>
  <si>
    <t>OTC指數MACD</t>
  </si>
  <si>
    <t>加權指數DIF</t>
  </si>
  <si>
    <t>加權指數ADX</t>
  </si>
  <si>
    <t>加權指數本益比</t>
  </si>
  <si>
    <t>倍</t>
  </si>
  <si>
    <t>台灣50指數
本益比</t>
  </si>
  <si>
    <t>台灣中型100指數本益比</t>
  </si>
  <si>
    <t>台灣高股息指數本益比</t>
  </si>
  <si>
    <t>OTC指數本益比</t>
  </si>
  <si>
    <t>加權指數股價
淨值比</t>
  </si>
  <si>
    <t>台灣50指數股價淨值比</t>
  </si>
  <si>
    <t>台灣中型100指數股價淨值比</t>
  </si>
  <si>
    <t>台灣高股息指數股價淨值比</t>
  </si>
  <si>
    <t>OTC指數股價
淨值比</t>
  </si>
  <si>
    <t>實質GDP成長率</t>
  </si>
  <si>
    <t>美國領先指標</t>
  </si>
  <si>
    <t>美國耐久財訂單</t>
  </si>
  <si>
    <t>美國零售銷售</t>
  </si>
  <si>
    <t>美國就業數據(MOM)</t>
  </si>
  <si>
    <t>千人</t>
  </si>
  <si>
    <t>美國失業率</t>
  </si>
  <si>
    <t>美國CPI</t>
  </si>
  <si>
    <t>成屋銷售量</t>
  </si>
  <si>
    <t>百萬
戶</t>
  </si>
  <si>
    <t>美國M1-M2</t>
  </si>
  <si>
    <t>歐元區領先指標</t>
  </si>
  <si>
    <t>歐元區經濟景氣指標</t>
  </si>
  <si>
    <t>歐元區工業生產
指數</t>
  </si>
  <si>
    <t>歐元區貿易收支</t>
  </si>
  <si>
    <t>歐元區零售指數</t>
  </si>
  <si>
    <t>歐元區失業率</t>
  </si>
  <si>
    <t>百萬
歐元</t>
  </si>
  <si>
    <t>歐元區CPI</t>
  </si>
  <si>
    <t>歐元區M1-M2</t>
  </si>
  <si>
    <t>中國領先指標</t>
  </si>
  <si>
    <t>中國發電產量</t>
  </si>
  <si>
    <t>十億
KW/H</t>
  </si>
  <si>
    <t>中國貿易收支</t>
  </si>
  <si>
    <t>中國零售銷售</t>
  </si>
  <si>
    <t>十億
人民幣</t>
  </si>
  <si>
    <t xml:space="preserve">中國城鎮失業率　</t>
  </si>
  <si>
    <t>中國CPI</t>
  </si>
  <si>
    <t>中國M1-M2</t>
  </si>
  <si>
    <t>中國金融機構
新增貸款</t>
  </si>
  <si>
    <t>S&amp;P500指數
乖離率</t>
  </si>
  <si>
    <t>MSCI歐洲指數
乖離率</t>
  </si>
  <si>
    <t>上海綜合指數
乖離率</t>
  </si>
  <si>
    <t>S&amp;P500本益比</t>
  </si>
  <si>
    <t>MSCI歐洲指數
本益比</t>
  </si>
  <si>
    <t>上海綜合指數
本益比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</si>
</sst>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yyyy/m"/>
  </numFmts>
  <fonts count="20" x14ac:knownFonts="1">
    <font>
      <sz val="11"/>
      <color theme="1"/>
      <name val="Calibri"/>
      <family val="2"/>
      <scheme val="minor"/>
    </font>
    <font>
      <sz val="12"/>
      <color rgb="FF808080"/>
      <name val="新細明體"/>
      <family val="2"/>
    </font>
    <font>
      <sz val="12"/>
      <color theme="1"/>
      <name val="新細明體"/>
      <family val="2"/>
    </font>
    <font>
      <b/>
      <sz val="12"/>
      <color rgb="FF4f81bd"/>
      <name val="新細明體"/>
      <family val="2"/>
    </font>
    <font>
      <sz val="11"/>
      <color theme="1"/>
      <name val="Calibri"/>
      <family val="2"/>
    </font>
    <font>
      <sz val="12"/>
      <color rgb="FFff0000"/>
      <name val="新細明體"/>
      <family val="2"/>
    </font>
    <font>
      <b/>
      <sz val="12"/>
      <color rgb="FF000000"/>
      <name val="新細明體"/>
      <family val="2"/>
    </font>
    <font>
      <b/>
      <sz val="12"/>
      <color rgb="FF000000"/>
      <name val="微軟正黑體"/>
      <family val="2"/>
    </font>
    <font>
      <b/>
      <sz val="12"/>
      <color rgb="FF000000"/>
      <name val="Arial"/>
      <family val="2"/>
    </font>
    <font>
      <b/>
      <sz val="10"/>
      <color rgb="FF000000"/>
      <name val="Microsoft YaHei UI"/>
      <family val="2"/>
    </font>
    <font>
      <b/>
      <sz val="14"/>
      <color rgb="FF0000ff"/>
      <name val="Microsoft YaHei UI"/>
      <family val="2"/>
    </font>
    <font>
      <b/>
      <sz val="13"/>
      <color rgb="FFff0000"/>
      <name val="微軟正黑體"/>
      <family val="2"/>
    </font>
    <font>
      <sz val="12"/>
      <color rgb="FF000000"/>
      <name val="微軟正黑體"/>
      <family val="2"/>
    </font>
    <font>
      <sz val="11"/>
      <color rgb="FF000000"/>
      <name val="微軟正黑體"/>
      <family val="2"/>
    </font>
    <font>
      <sz val="12"/>
      <color rgb="FF000000"/>
      <name val="Arial"/>
      <family val="2"/>
    </font>
    <font>
      <b/>
      <sz val="12"/>
      <color rgb="FFc00000"/>
      <name val="Microsoft YaHei UI"/>
      <family val="2"/>
    </font>
    <font>
      <b/>
      <sz val="10"/>
      <color rgb="FF808080"/>
      <name val="微軟正黑體"/>
      <family val="2"/>
    </font>
    <font>
      <b/>
      <sz val="12"/>
      <color rgb="FFff0000"/>
      <name val="新細明體"/>
      <family val="2"/>
    </font>
    <font>
      <sz val="10"/>
      <color rgb="FF808080"/>
      <name val="Arial"/>
      <family val="2"/>
    </font>
    <font>
      <b/>
      <sz val="12"/>
      <color rgb="FFff0000"/>
      <name val="微軟正黑體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ffff99"/>
      </patternFill>
    </fill>
    <fill>
      <patternFill patternType="solid">
        <fgColor rgb="FFffc000"/>
      </patternFill>
    </fill>
    <fill>
      <patternFill patternType="solid">
        <fgColor rgb="FFdce6f2"/>
      </patternFill>
    </fill>
    <fill>
      <patternFill patternType="solid">
        <fgColor rgb="FFeeece1"/>
      </patternFill>
    </fill>
    <fill>
      <patternFill patternType="solid">
        <fgColor rgb="FF4a452a"/>
      </patternFill>
    </fill>
  </fills>
  <borders count="28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95b3d7"/>
      </top>
      <bottom style="thin">
        <color rgb="FF95b3d7"/>
      </bottom>
      <diagonal/>
    </border>
    <border>
      <left style="medium">
        <color rgb="FF4a452a"/>
      </left>
      <right/>
      <top style="medium">
        <color rgb="FF4a452a"/>
      </top>
      <bottom/>
      <diagonal/>
    </border>
    <border>
      <left/>
      <right/>
      <top style="medium">
        <color rgb="FF4a452a"/>
      </top>
      <bottom/>
      <diagonal/>
    </border>
    <border>
      <left/>
      <right style="medium">
        <color rgb="FF4a452a"/>
      </right>
      <top style="medium">
        <color rgb="FF4a452a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 style="medium">
        <color rgb="FF4a452a"/>
      </left>
      <right/>
      <top/>
      <bottom/>
      <diagonal/>
    </border>
    <border>
      <left style="thin">
        <color rgb="FFc6c6c6"/>
      </left>
      <right style="medium">
        <color rgb="FF4a452a"/>
      </right>
      <top style="thin">
        <color rgb="FFc6c6c6"/>
      </top>
      <bottom style="thin">
        <color rgb="FFc6c6c6"/>
      </bottom>
      <diagonal/>
    </border>
    <border>
      <left style="medium">
        <color rgb="FF000000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c6c6c6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4a452a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double">
        <color rgb="FF000000"/>
      </bottom>
      <diagonal/>
    </border>
    <border>
      <left style="thin">
        <color rgb="FFc6c6c6"/>
      </left>
      <right style="medium">
        <color rgb="FF4a452a"/>
      </right>
      <top style="thin">
        <color rgb="FFc6c6c6"/>
      </top>
      <bottom style="double">
        <color rgb="FF000000"/>
      </bottom>
      <diagonal/>
    </border>
    <border>
      <left/>
      <right style="medium">
        <color rgb="FF4a452a"/>
      </right>
      <top/>
      <bottom/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4a452a"/>
      </left>
      <right/>
      <top/>
      <bottom style="medium">
        <color rgb="FF4a452a"/>
      </bottom>
      <diagonal/>
    </border>
    <border>
      <left/>
      <right/>
      <top/>
      <bottom style="medium">
        <color rgb="FF4a452a"/>
      </bottom>
      <diagonal/>
    </border>
    <border>
      <left/>
      <right style="medium">
        <color rgb="FF4a452a"/>
      </right>
      <top/>
      <bottom style="medium">
        <color rgb="FF4a452a"/>
      </bottom>
      <diagonal/>
    </border>
  </borders>
  <cellStyleXfs count="1">
    <xf numFmtId="0" fontId="0" fillId="0" borderId="0"/>
  </cellStyleXfs>
  <cellXfs count="111">
    <xf xfId="0" numFmtId="0" borderId="0" fontId="0" fillId="0"/>
    <xf xfId="0" numFmtId="0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0" borderId="1" applyBorder="1" fontId="2" applyFont="1" fillId="0" applyAlignment="1">
      <alignment horizontal="left"/>
    </xf>
    <xf xfId="0" numFmtId="4" applyNumberFormat="1" borderId="1" applyBorder="1" fontId="2" applyFont="1" fillId="0" applyAlignment="1">
      <alignment horizontal="left"/>
    </xf>
    <xf xfId="0" numFmtId="4" applyNumberFormat="1" borderId="2" applyBorder="1" fontId="3" applyFont="1" fillId="2" applyFill="1" applyAlignment="1">
      <alignment horizontal="left"/>
    </xf>
    <xf xfId="0" numFmtId="3" applyNumberFormat="1" borderId="1" applyBorder="1" fontId="2" applyFont="1" fillId="0" applyAlignment="1">
      <alignment horizontal="right" wrapText="1"/>
    </xf>
    <xf xfId="0" numFmtId="3" applyNumberFormat="1" borderId="2" applyBorder="1" fontId="2" applyFont="1" fillId="3" applyFill="1" applyAlignment="1">
      <alignment horizontal="left"/>
    </xf>
    <xf xfId="0" numFmtId="3" applyNumberFormat="1" borderId="2" applyBorder="1" fontId="2" applyFont="1" fillId="3" applyFill="1" applyAlignment="1">
      <alignment horizontal="center"/>
    </xf>
    <xf xfId="0" numFmtId="0" borderId="2" applyBorder="1" fontId="2" applyFont="1" fillId="3" applyFill="1" applyAlignment="1">
      <alignment horizontal="left"/>
    </xf>
    <xf xfId="0" numFmtId="4" applyNumberFormat="1" borderId="2" applyBorder="1" fontId="2" applyFont="1" fillId="3" applyFill="1" applyAlignment="1">
      <alignment horizontal="left"/>
    </xf>
    <xf xfId="0" numFmtId="3" applyNumberFormat="1" borderId="0" fontId="0" fillId="0" applyAlignment="1">
      <alignment horizontal="general"/>
    </xf>
    <xf xfId="0" numFmtId="3" applyNumberFormat="1" borderId="1" applyBorder="1" fontId="2" applyFont="1" fillId="0" applyAlignment="1">
      <alignment horizontal="left" wrapText="1"/>
    </xf>
    <xf xfId="0" numFmtId="3" applyNumberFormat="1" borderId="3" applyBorder="1" fontId="2" applyFont="1" fillId="3" applyFill="1" applyAlignment="1">
      <alignment horizontal="center" wrapText="1"/>
    </xf>
    <xf xfId="0" numFmtId="0" borderId="3" applyBorder="1" fontId="2" applyFont="1" fillId="3" applyFill="1" applyAlignment="1">
      <alignment horizontal="center"/>
    </xf>
    <xf xfId="0" numFmtId="4" applyNumberFormat="1" borderId="3" applyBorder="1" fontId="2" applyFont="1" fillId="3" applyFill="1" applyAlignment="1">
      <alignment horizontal="center"/>
    </xf>
    <xf xfId="0" numFmtId="4" applyNumberFormat="1" borderId="1" applyBorder="1" fontId="2" applyFont="1" fillId="0" applyAlignment="1">
      <alignment horizontal="right"/>
    </xf>
    <xf xfId="0" numFmtId="4" applyNumberFormat="1" borderId="1" applyBorder="1" fontId="3" applyFont="1" fillId="0" applyAlignment="1">
      <alignment horizontal="right"/>
    </xf>
    <xf xfId="0" numFmtId="3" applyNumberFormat="1" borderId="0" fontId="0" fillId="0" applyAlignment="1">
      <alignment horizontal="general" wrapText="1"/>
    </xf>
    <xf xfId="0" numFmtId="3" applyNumberFormat="1" borderId="2" applyBorder="1" fontId="2" applyFont="1" fillId="3" applyFill="1" applyAlignment="1">
      <alignment horizontal="right"/>
    </xf>
    <xf xfId="0" numFmtId="3" applyNumberFormat="1" borderId="3" applyBorder="1" fontId="2" applyFont="1" fillId="3" applyFill="1" applyAlignment="1">
      <alignment horizontal="center"/>
    </xf>
    <xf xfId="0" numFmtId="0" borderId="3" applyBorder="1" fontId="2" applyFont="1" fillId="3" applyFill="1" applyAlignment="1">
      <alignment horizontal="center"/>
    </xf>
    <xf xfId="0" numFmtId="0" borderId="3" applyBorder="1" fontId="4" applyFont="1" fillId="0" applyAlignment="1">
      <alignment horizontal="center"/>
    </xf>
    <xf xfId="0" numFmtId="3" applyNumberFormat="1" borderId="3" applyBorder="1" fontId="4" applyFont="1" fillId="0" applyAlignment="1">
      <alignment horizontal="center"/>
    </xf>
    <xf xfId="0" numFmtId="3" applyNumberFormat="1" borderId="3" applyBorder="1" fontId="4" applyFont="1" fillId="0" applyAlignment="1">
      <alignment horizontal="left"/>
    </xf>
    <xf xfId="0" numFmtId="3" applyNumberFormat="1" borderId="3" applyBorder="1" fontId="4" applyFont="1" fillId="4" applyFill="1" applyAlignment="1">
      <alignment horizontal="right"/>
    </xf>
    <xf xfId="0" numFmtId="3" applyNumberFormat="1" borderId="3" applyBorder="1" fontId="4" applyFont="1" fillId="0" applyAlignment="1">
      <alignment horizontal="right"/>
    </xf>
    <xf xfId="0" numFmtId="3" applyNumberFormat="1" borderId="1" applyBorder="1" fontId="2" applyFont="1" fillId="0" applyAlignment="1">
      <alignment horizontal="right"/>
    </xf>
    <xf xfId="0" numFmtId="4" applyNumberFormat="1" borderId="2" applyBorder="1" fontId="2" applyFont="1" fillId="3" applyFill="1" applyAlignment="1">
      <alignment horizontal="center"/>
    </xf>
    <xf xfId="0" numFmtId="0" borderId="2" applyBorder="1" fontId="2" applyFont="1" fillId="3" applyFill="1" applyAlignment="1">
      <alignment horizontal="center"/>
    </xf>
    <xf xfId="0" numFmtId="4" applyNumberFormat="1" borderId="0" fontId="0" fillId="0" applyAlignment="1">
      <alignment horizontal="general"/>
    </xf>
    <xf xfId="0" numFmtId="0" borderId="3" applyBorder="1" fontId="4" applyFont="1" fillId="3" applyFill="1" applyAlignment="1">
      <alignment horizontal="left"/>
    </xf>
    <xf xfId="0" numFmtId="4" applyNumberFormat="1" borderId="3" applyBorder="1" fontId="4" applyFont="1" fillId="0" applyAlignment="1">
      <alignment horizontal="right"/>
    </xf>
    <xf xfId="0" numFmtId="0" borderId="1" applyBorder="1" fontId="2" applyFont="1" fillId="0" applyAlignment="1">
      <alignment horizontal="left"/>
    </xf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general" wrapText="1"/>
    </xf>
    <xf xfId="0" numFmtId="3" applyNumberFormat="1" borderId="0" fontId="0" fillId="0" applyAlignment="1">
      <alignment horizontal="general"/>
    </xf>
    <xf xfId="0" numFmtId="3" applyNumberFormat="1" borderId="1" applyBorder="1" fontId="1" applyFont="1" fillId="0" applyAlignment="1">
      <alignment horizontal="left"/>
    </xf>
    <xf xfId="0" numFmtId="4" applyNumberFormat="1" borderId="1" applyBorder="1" fontId="1" applyFont="1" fillId="0" applyAlignment="1">
      <alignment horizontal="left"/>
    </xf>
    <xf xfId="0" numFmtId="3" applyNumberFormat="1" borderId="1" applyBorder="1" fontId="2" applyFont="1" fillId="0" applyAlignment="1">
      <alignment horizontal="left"/>
    </xf>
    <xf xfId="0" numFmtId="4" applyNumberFormat="1" borderId="1" applyBorder="1" fontId="4" applyFont="1" fillId="0" applyAlignment="1">
      <alignment horizontal="right"/>
    </xf>
    <xf xfId="0" numFmtId="4" applyNumberFormat="1" borderId="1" applyBorder="1" fontId="4" applyFont="1" fillId="0" applyAlignment="1">
      <alignment horizontal="left"/>
    </xf>
    <xf xfId="0" numFmtId="0" borderId="1" applyBorder="1" fontId="4" applyFont="1" fillId="0" applyAlignment="1">
      <alignment horizontal="left"/>
    </xf>
    <xf xfId="0" numFmtId="4" applyNumberFormat="1" borderId="2" applyBorder="1" fontId="4" applyFont="1" fillId="2" applyFill="1" applyAlignment="1">
      <alignment horizontal="left"/>
    </xf>
    <xf xfId="0" numFmtId="0" borderId="1" applyBorder="1" fontId="5" applyFont="1" fillId="0" applyAlignment="1">
      <alignment horizontal="left"/>
    </xf>
    <xf xfId="0" numFmtId="4" applyNumberFormat="1" borderId="2" applyBorder="1" fontId="2" applyFont="1" fillId="2" applyFill="1" applyAlignment="1">
      <alignment horizontal="left"/>
    </xf>
    <xf xfId="0" numFmtId="14" applyNumberFormat="1" borderId="2" applyBorder="1" fontId="2" applyFont="1" fillId="3" applyFill="1" applyAlignment="1">
      <alignment horizontal="left"/>
    </xf>
    <xf xfId="0" numFmtId="3" applyNumberFormat="1" borderId="1" applyBorder="1" fontId="4" applyFont="1" fillId="0" applyAlignment="1">
      <alignment horizontal="right"/>
    </xf>
    <xf xfId="0" numFmtId="3" applyNumberFormat="1" borderId="1" applyBorder="1" fontId="4" applyFont="1" fillId="0" applyAlignment="1">
      <alignment horizontal="left"/>
    </xf>
    <xf xfId="0" numFmtId="3" applyNumberFormat="1" borderId="2" applyBorder="1" fontId="4" applyFont="1" fillId="2" applyFill="1" applyAlignment="1">
      <alignment horizontal="left"/>
    </xf>
    <xf xfId="0" numFmtId="0" borderId="2" applyBorder="1" fontId="2" applyFont="1" fillId="3" applyFill="1" applyAlignment="1">
      <alignment horizontal="left"/>
    </xf>
    <xf xfId="0" numFmtId="49" applyNumberFormat="1" borderId="1" applyBorder="1" fontId="4" applyFont="1" fillId="0" applyAlignment="1">
      <alignment horizontal="left"/>
    </xf>
    <xf xfId="0" numFmtId="0" borderId="4" applyBorder="1" fontId="6" applyFont="1" fillId="2" applyFill="1" applyAlignment="1">
      <alignment horizontal="left"/>
    </xf>
    <xf xfId="0" numFmtId="3" applyNumberFormat="1" borderId="2" applyBorder="1" fontId="4" applyFont="1" fillId="2" applyFill="1" applyAlignment="1">
      <alignment horizontal="right"/>
    </xf>
    <xf xfId="0" numFmtId="0" borderId="5" applyBorder="1" fontId="7" applyFont="1" fillId="0" applyAlignment="1">
      <alignment horizontal="center"/>
    </xf>
    <xf xfId="0" numFmtId="0" borderId="6" applyBorder="1" fontId="7" applyFont="1" fillId="0" applyAlignment="1">
      <alignment horizontal="center" wrapText="1"/>
    </xf>
    <xf xfId="0" numFmtId="164" applyNumberFormat="1" borderId="6" applyBorder="1" fontId="8" applyFont="1" fillId="0" applyAlignment="1">
      <alignment horizontal="center"/>
    </xf>
    <xf xfId="0" numFmtId="164" applyNumberFormat="1" borderId="7" applyBorder="1" fontId="8" applyFont="1" fillId="0" applyAlignment="1">
      <alignment horizontal="center"/>
    </xf>
    <xf xfId="0" numFmtId="3" applyNumberFormat="1" borderId="8" applyBorder="1" fontId="9" applyFont="1" fillId="5" applyFill="1" applyAlignment="1">
      <alignment horizontal="center"/>
    </xf>
    <xf xfId="0" numFmtId="3" applyNumberFormat="1" borderId="9" applyBorder="1" fontId="10" applyFont="1" fillId="2" applyFill="1" applyAlignment="1">
      <alignment horizontal="center"/>
    </xf>
    <xf xfId="0" numFmtId="14" applyNumberFormat="1" borderId="1" applyBorder="1" fontId="11" applyFont="1" fillId="0" applyAlignment="1">
      <alignment horizontal="left"/>
    </xf>
    <xf xfId="0" numFmtId="0" borderId="10" applyBorder="1" fontId="12" applyFont="1" fillId="0" applyAlignment="1">
      <alignment horizontal="left"/>
    </xf>
    <xf xfId="0" numFmtId="0" borderId="1" applyBorder="1" fontId="13" applyFont="1" fillId="0" applyAlignment="1">
      <alignment horizontal="center" wrapText="1"/>
    </xf>
    <xf xfId="0" numFmtId="4" applyNumberFormat="1" borderId="2" applyBorder="1" fontId="14" applyFont="1" fillId="6" applyFill="1" applyAlignment="1">
      <alignment horizontal="center"/>
    </xf>
    <xf xfId="0" numFmtId="4" applyNumberFormat="1" borderId="2" applyBorder="1" fontId="15" applyFont="1" fillId="6" applyFill="1" applyAlignment="1">
      <alignment horizontal="center"/>
    </xf>
    <xf xfId="0" numFmtId="4" applyNumberFormat="1" borderId="11" applyBorder="1" fontId="14" applyFont="1" fillId="6" applyFill="1" applyAlignment="1">
      <alignment horizontal="center"/>
    </xf>
    <xf xfId="0" numFmtId="3" applyNumberFormat="1" borderId="12" applyBorder="1" fontId="9" applyFont="1" fillId="5" applyFill="1" applyAlignment="1">
      <alignment horizontal="center"/>
    </xf>
    <xf xfId="0" numFmtId="14" applyNumberFormat="1" borderId="13" applyBorder="1" fontId="9" applyFont="1" fillId="5" applyFill="1" applyAlignment="1">
      <alignment horizontal="center"/>
    </xf>
    <xf xfId="0" numFmtId="14" applyNumberFormat="1" borderId="1" applyBorder="1" fontId="16" applyFont="1" fillId="0" applyAlignment="1">
      <alignment horizontal="center"/>
    </xf>
    <xf xfId="0" numFmtId="0" borderId="2" applyBorder="1" fontId="17" applyFont="1" fillId="3" applyFill="1" applyAlignment="1">
      <alignment horizontal="left" wrapText="1"/>
    </xf>
    <xf xfId="0" numFmtId="3" applyNumberFormat="1" borderId="1" applyBorder="1" fontId="9" applyFont="1" fillId="0" applyAlignment="1">
      <alignment horizontal="center"/>
    </xf>
    <xf xfId="0" numFmtId="3" applyNumberFormat="1" borderId="14" applyBorder="1" fontId="9" applyFont="1" fillId="0" applyAlignment="1">
      <alignment horizontal="center"/>
    </xf>
    <xf xfId="0" numFmtId="14" applyNumberFormat="1" borderId="15" applyBorder="1" fontId="9" applyFont="1" fillId="0" applyAlignment="1">
      <alignment horizontal="center"/>
    </xf>
    <xf xfId="0" numFmtId="14" applyNumberFormat="1" borderId="1" applyBorder="1" fontId="18" applyFont="1" fillId="0" applyAlignment="1">
      <alignment horizontal="center"/>
    </xf>
    <xf xfId="0" numFmtId="0" borderId="2" applyBorder="1" fontId="19" applyFont="1" fillId="3" applyFill="1" applyAlignment="1">
      <alignment horizontal="left"/>
    </xf>
    <xf xfId="0" numFmtId="3" applyNumberFormat="1" borderId="2" applyBorder="1" fontId="14" applyFont="1" fillId="6" applyFill="1" applyAlignment="1">
      <alignment horizontal="center"/>
    </xf>
    <xf xfId="0" numFmtId="3" applyNumberFormat="1" borderId="11" applyBorder="1" fontId="14" applyFont="1" fillId="6" applyFill="1" applyAlignment="1">
      <alignment horizontal="center"/>
    </xf>
    <xf xfId="0" numFmtId="3" applyNumberFormat="1" borderId="16" applyBorder="1" fontId="9" applyFont="1" fillId="0" applyAlignment="1">
      <alignment horizontal="center"/>
    </xf>
    <xf xfId="0" numFmtId="14" applyNumberFormat="1" borderId="17" applyBorder="1" fontId="9" applyFont="1" fillId="0" applyAlignment="1">
      <alignment horizontal="center"/>
    </xf>
    <xf xfId="0" numFmtId="0" borderId="18" applyBorder="1" fontId="12" applyFont="1" fillId="0" applyAlignment="1">
      <alignment horizontal="left"/>
    </xf>
    <xf xfId="0" numFmtId="0" borderId="19" applyBorder="1" fontId="13" applyFont="1" fillId="0" applyAlignment="1">
      <alignment horizontal="center" wrapText="1"/>
    </xf>
    <xf xfId="0" numFmtId="4" applyNumberFormat="1" borderId="20" applyBorder="1" fontId="14" applyFont="1" fillId="6" applyFill="1" applyAlignment="1">
      <alignment horizontal="center"/>
    </xf>
    <xf xfId="0" numFmtId="4" applyNumberFormat="1" borderId="21" applyBorder="1" fontId="14" applyFont="1" fillId="6" applyFill="1" applyAlignment="1">
      <alignment horizontal="center"/>
    </xf>
    <xf xfId="0" numFmtId="0" borderId="1" applyBorder="1" fontId="14" applyFont="1" fillId="0" applyAlignment="1">
      <alignment horizontal="center"/>
    </xf>
    <xf xfId="0" numFmtId="4" applyNumberFormat="1" borderId="1" applyBorder="1" fontId="14" applyFont="1" fillId="0" applyAlignment="1">
      <alignment horizontal="center"/>
    </xf>
    <xf xfId="0" numFmtId="4" applyNumberFormat="1" borderId="22" applyBorder="1" fontId="14" applyFont="1" fillId="0" applyAlignment="1">
      <alignment horizontal="center"/>
    </xf>
    <xf xfId="0" numFmtId="0" borderId="2" applyBorder="1" fontId="4" applyFont="1" fillId="3" applyFill="1" applyAlignment="1">
      <alignment horizontal="left"/>
    </xf>
    <xf xfId="0" numFmtId="3" applyNumberFormat="1" borderId="23" applyBorder="1" fontId="9" applyFont="1" fillId="0" applyAlignment="1">
      <alignment horizontal="center"/>
    </xf>
    <xf xfId="0" numFmtId="14" applyNumberFormat="1" borderId="24" applyBorder="1" fontId="9" applyFont="1" fillId="0" applyAlignment="1">
      <alignment horizontal="center"/>
    </xf>
    <xf xfId="0" numFmtId="14" applyNumberFormat="1" borderId="0" fontId="0" fillId="0" applyAlignment="1">
      <alignment horizontal="general"/>
    </xf>
    <xf xfId="0" numFmtId="14" applyNumberFormat="1" borderId="1" applyBorder="1" fontId="4" applyFont="1" fillId="0" applyAlignment="1">
      <alignment horizontal="left"/>
    </xf>
    <xf xfId="0" numFmtId="0" borderId="25" applyBorder="1" fontId="12" applyFont="1" fillId="0" applyAlignment="1">
      <alignment horizontal="left"/>
    </xf>
    <xf xfId="0" numFmtId="0" borderId="26" applyBorder="1" fontId="13" applyFont="1" fillId="0" applyAlignment="1">
      <alignment horizontal="center" wrapText="1"/>
    </xf>
    <xf xfId="0" numFmtId="4" applyNumberFormat="1" borderId="26" applyBorder="1" fontId="14" applyFont="1" fillId="0" applyAlignment="1">
      <alignment horizontal="center"/>
    </xf>
    <xf xfId="0" numFmtId="4" applyNumberFormat="1" borderId="27" applyBorder="1" fontId="14" applyFont="1" fillId="0" applyAlignment="1">
      <alignment horizontal="center"/>
    </xf>
    <xf xfId="0" numFmtId="0" borderId="2" applyBorder="1" fontId="14" applyFont="1" fillId="7" applyFill="1" applyAlignment="1">
      <alignment horizontal="center"/>
    </xf>
    <xf xfId="0" numFmtId="0" borderId="2" applyBorder="1" fontId="12" applyFont="1" fillId="7" applyFill="1" applyAlignment="1">
      <alignment horizontal="left"/>
    </xf>
    <xf xfId="0" numFmtId="0" borderId="2" applyBorder="1" fontId="12" applyFont="1" fillId="7" applyFill="1" applyAlignment="1">
      <alignment horizontal="center" wrapText="1"/>
    </xf>
    <xf xfId="0" numFmtId="4" applyNumberFormat="1" borderId="2" applyBorder="1" fontId="14" applyFont="1" fillId="7" applyFill="1" applyAlignment="1">
      <alignment horizontal="center"/>
    </xf>
    <xf xfId="0" numFmtId="0" borderId="5" applyBorder="1" fontId="12" applyFont="1" fillId="0" applyAlignment="1">
      <alignment horizontal="left"/>
    </xf>
    <xf xfId="0" numFmtId="0" borderId="6" applyBorder="1" fontId="12" applyFont="1" fillId="0" applyAlignment="1">
      <alignment horizontal="center" wrapText="1"/>
    </xf>
    <xf xfId="0" numFmtId="4" applyNumberFormat="1" borderId="6" applyBorder="1" fontId="14" applyFont="1" fillId="0" applyAlignment="1">
      <alignment horizontal="center"/>
    </xf>
    <xf xfId="0" numFmtId="4" applyNumberFormat="1" borderId="7" applyBorder="1" fontId="14" applyFont="1" fillId="0" applyAlignment="1">
      <alignment horizontal="center"/>
    </xf>
    <xf xfId="0" numFmtId="0" borderId="1" applyBorder="1" fontId="12" applyFont="1" fillId="0" applyAlignment="1">
      <alignment horizontal="center" wrapText="1"/>
    </xf>
    <xf xfId="0" numFmtId="0" borderId="0" fontId="0" fillId="0" applyAlignment="1">
      <alignment horizontal="center" wrapText="1"/>
    </xf>
    <xf xfId="0" numFmtId="0" borderId="26" applyBorder="1" fontId="12" applyFont="1" fillId="0" applyAlignment="1">
      <alignment horizontal="center" wrapText="1"/>
    </xf>
    <xf xfId="0" numFmtId="0" borderId="0" fontId="0" fillId="0" applyAlignment="1">
      <alignment horizontal="left"/>
    </xf>
    <xf xfId="0" numFmtId="0" borderId="0" fontId="0" fillId="0" applyAlignment="1">
      <alignment horizontal="center" wrapText="1"/>
    </xf>
    <xf xfId="0" numFmtId="4" applyNumberFormat="1" borderId="0" fontId="0" fillId="0" applyAlignment="1">
      <alignment horizontal="center"/>
    </xf>
    <xf xfId="0" numFmtId="14" applyNumberFormat="1" borderId="0" fontId="0" fillId="0" applyAlignment="1">
      <alignment horizontal="general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worksheets/sheet10.xml" Type="http://schemas.openxmlformats.org/officeDocument/2006/relationships/worksheet" Id="rId10"/><Relationship Target="worksheets/sheet11.xml" Type="http://schemas.openxmlformats.org/officeDocument/2006/relationships/worksheet" Id="rId11"/><Relationship Target="sharedStrings.xml" Type="http://schemas.openxmlformats.org/officeDocument/2006/relationships/sharedStrings" Id="rId12"/><Relationship Target="styles.xml" Type="http://schemas.openxmlformats.org/officeDocument/2006/relationships/styles" Id="rId13"/><Relationship Target="theme/theme1.xml" Type="http://schemas.openxmlformats.org/officeDocument/2006/relationships/theme" Id="rId14"/><Relationship Target="vbaProject.bin" Type="http://schemas.microsoft.com/office/2006/relationships/vbaProject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1"/>
  <sheetViews>
    <sheetView workbookViewId="0">
      <pane state="frozen" activePane="bottomLeft" topLeftCell="A2" ySplit="1" xSplit="0"/>
    </sheetView>
  </sheetViews>
  <sheetFormatPr defaultRowHeight="15" x14ac:dyDescent="0.25"/>
  <cols>
    <col min="1" max="1" style="34" width="4.005" customWidth="1" bestFit="1"/>
    <col min="2" max="2" style="107" width="30.862142857142857" customWidth="1" bestFit="1"/>
    <col min="3" max="3" style="108" width="6.005" customWidth="1" bestFit="1"/>
    <col min="4" max="4" style="109" width="10.719285714285713" customWidth="1" bestFit="1"/>
    <col min="5" max="5" style="109" width="10.719285714285713" customWidth="1" bestFit="1"/>
    <col min="6" max="6" style="109" width="10.719285714285713" customWidth="1" bestFit="1"/>
    <col min="7" max="7" style="109" width="10.719285714285713" customWidth="1" bestFit="1"/>
    <col min="8" max="8" style="109" width="10.719285714285713" customWidth="1" bestFit="1"/>
    <col min="9" max="9" style="109" width="10.719285714285713" customWidth="1" bestFit="1"/>
    <col min="10" max="10" style="109" width="10.719285714285713" customWidth="1" bestFit="1"/>
    <col min="11" max="11" style="109" width="10.719285714285713" customWidth="1" bestFit="1"/>
    <col min="12" max="12" style="109" width="10.719285714285713" customWidth="1" bestFit="1"/>
    <col min="13" max="13" style="109" width="10.719285714285713" customWidth="1" bestFit="1"/>
    <col min="14" max="14" style="109" width="10.719285714285713" customWidth="1" bestFit="1"/>
    <col min="15" max="15" style="109" width="10.719285714285713" customWidth="1" bestFit="1"/>
    <col min="16" max="16" style="109" width="10.719285714285713" customWidth="1" bestFit="1"/>
    <col min="17" max="17" style="34" width="4.2907142857142855" customWidth="1" bestFit="1"/>
    <col min="18" max="18" style="34" width="4.2907142857142855" customWidth="1" bestFit="1"/>
    <col min="19" max="19" style="37" width="9.147857142857141" customWidth="1" bestFit="1"/>
    <col min="20" max="20" style="110" width="12.576428571428572" customWidth="1" bestFit="1"/>
    <col min="21" max="21" style="110" width="12.862142857142858" customWidth="1" bestFit="1"/>
    <col min="22" max="22" style="34" width="3.5764285714285715" customWidth="1" bestFit="1"/>
    <col min="23" max="23" style="37" width="13.576428571428572" customWidth="1" bestFit="1"/>
  </cols>
  <sheetData>
    <row x14ac:dyDescent="0.25" r="1" customHeight="1" ht="24">
      <c r="A1" s="2"/>
      <c r="B1" s="55" t="s">
        <v>522</v>
      </c>
      <c r="C1" s="56" t="s">
        <v>523</v>
      </c>
      <c r="D1" s="57">
        <f>EOMONTH(T3,-1)</f>
        <v>25569.333333333332</v>
      </c>
      <c r="E1" s="57">
        <f>T3</f>
        <v>25569.333333333332</v>
      </c>
      <c r="F1" s="57">
        <f>T4</f>
        <v>25569.333333333332</v>
      </c>
      <c r="G1" s="57">
        <f>T5</f>
        <v>25569.333333333332</v>
      </c>
      <c r="H1" s="57">
        <f>T6</f>
        <v>25569.333333333332</v>
      </c>
      <c r="I1" s="57">
        <f>T7</f>
        <v>25569.333333333332</v>
      </c>
      <c r="J1" s="57">
        <f>T8</f>
        <v>25569.333333333332</v>
      </c>
      <c r="K1" s="57">
        <f>T9</f>
        <v>25569.333333333332</v>
      </c>
      <c r="L1" s="57">
        <f>T10</f>
        <v>25569.333333333332</v>
      </c>
      <c r="M1" s="57">
        <f>T11</f>
        <v>25569.333333333332</v>
      </c>
      <c r="N1" s="57">
        <f>T12</f>
        <v>25569.333333333332</v>
      </c>
      <c r="O1" s="57">
        <f>T13</f>
        <v>25569.333333333332</v>
      </c>
      <c r="P1" s="58">
        <f>T14</f>
        <v>25569.333333333332</v>
      </c>
      <c r="Q1" s="2"/>
      <c r="R1" s="2"/>
      <c r="S1" s="59" t="s">
        <v>524</v>
      </c>
      <c r="T1" s="60">
        <v>2025</v>
      </c>
      <c r="U1" s="61" t="s">
        <v>525</v>
      </c>
      <c r="V1" s="2"/>
      <c r="W1" s="11"/>
    </row>
    <row x14ac:dyDescent="0.25" r="2" customHeight="1" ht="33.75">
      <c r="A2" s="2"/>
      <c r="B2" s="62" t="s">
        <v>526</v>
      </c>
      <c r="C2" s="63" t="s">
        <v>527</v>
      </c>
      <c r="D2" s="64"/>
      <c r="E2" s="65" t="s">
        <v>528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6"/>
      <c r="Q2" s="2"/>
      <c r="R2" s="2"/>
      <c r="S2" s="67" t="s">
        <v>529</v>
      </c>
      <c r="T2" s="68" t="s">
        <v>530</v>
      </c>
      <c r="U2" s="69" t="s">
        <v>531</v>
      </c>
      <c r="V2" s="70" t="s">
        <v>532</v>
      </c>
      <c r="W2" s="71" t="s">
        <v>533</v>
      </c>
    </row>
    <row x14ac:dyDescent="0.25" r="3" customHeight="1" ht="21.75">
      <c r="A3" s="2"/>
      <c r="B3" s="62" t="s">
        <v>534</v>
      </c>
      <c r="C3" s="63" t="s">
        <v>527</v>
      </c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6"/>
      <c r="Q3" s="2"/>
      <c r="R3" s="2"/>
      <c r="S3" s="72">
        <v>1</v>
      </c>
      <c r="T3" s="73">
        <f>EOMONTH(DATE($T$1,S3,1),0)</f>
        <v>25569.333333333332</v>
      </c>
      <c r="U3" s="74">
        <f>IF(WEEKDAY(T3,2)=7,T3-2,IF(WEEKDAY(T3,2)=6,T3-1,T3))+W3</f>
        <v>25569.333333333332</v>
      </c>
      <c r="V3" s="75" t="s">
        <v>535</v>
      </c>
      <c r="W3" s="71">
        <v>-9</v>
      </c>
    </row>
    <row x14ac:dyDescent="0.25" r="4" customHeight="1" ht="36">
      <c r="A4" s="2"/>
      <c r="B4" s="62" t="s">
        <v>536</v>
      </c>
      <c r="C4" s="63" t="s">
        <v>537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7"/>
      <c r="Q4" s="2"/>
      <c r="R4" s="2"/>
      <c r="S4" s="78">
        <v>2</v>
      </c>
      <c r="T4" s="79">
        <f>EOMONTH(DATE($T$1,S4,1),0)</f>
        <v>25569.333333333332</v>
      </c>
      <c r="U4" s="74">
        <f>IF(WEEKDAY(T4,2)=7,T4-2,IF(WEEKDAY(T4,2)=6,T4-1,T4))+W4</f>
        <v>25569.333333333332</v>
      </c>
      <c r="V4" s="75" t="s">
        <v>538</v>
      </c>
      <c r="W4" s="71">
        <v>-1</v>
      </c>
    </row>
    <row x14ac:dyDescent="0.25" r="5" customHeight="1" ht="38.25">
      <c r="A5" s="2"/>
      <c r="B5" s="62" t="s">
        <v>539</v>
      </c>
      <c r="C5" s="63" t="s">
        <v>527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6"/>
      <c r="Q5" s="2"/>
      <c r="R5" s="2"/>
      <c r="S5" s="78">
        <v>3</v>
      </c>
      <c r="T5" s="79">
        <f>EOMONTH(DATE($T$1,S5,1),0)</f>
        <v>25569.333333333332</v>
      </c>
      <c r="U5" s="74">
        <f>IF(WEEKDAY(T5,2)=7,T5-2,IF(WEEKDAY(T5,2)=6,T5-1,T5))+W5</f>
        <v>25569.333333333332</v>
      </c>
      <c r="V5" s="75" t="s">
        <v>540</v>
      </c>
      <c r="W5" s="71"/>
    </row>
    <row x14ac:dyDescent="0.25" r="6" customHeight="1" ht="36">
      <c r="A6" s="2"/>
      <c r="B6" s="62" t="s">
        <v>541</v>
      </c>
      <c r="C6" s="63" t="s">
        <v>542</v>
      </c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6"/>
      <c r="Q6" s="2"/>
      <c r="R6" s="2"/>
      <c r="S6" s="78">
        <v>4</v>
      </c>
      <c r="T6" s="79">
        <f>EOMONTH(DATE($T$1,S6,1),0)</f>
        <v>25569.333333333332</v>
      </c>
      <c r="U6" s="74">
        <f>IF(WEEKDAY(T6,2)=7,T6-2,IF(WEEKDAY(T6,2)=6,T6-1,T6))+W6</f>
        <v>25569.333333333332</v>
      </c>
      <c r="V6" s="75" t="s">
        <v>543</v>
      </c>
      <c r="W6" s="71"/>
    </row>
    <row x14ac:dyDescent="0.25" r="7" customHeight="1" ht="36">
      <c r="A7" s="2"/>
      <c r="B7" s="62" t="s">
        <v>544</v>
      </c>
      <c r="C7" s="63" t="s">
        <v>545</v>
      </c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6"/>
      <c r="Q7" s="2"/>
      <c r="R7" s="2"/>
      <c r="S7" s="78">
        <v>5</v>
      </c>
      <c r="T7" s="79">
        <f>EOMONTH(DATE($T$1,S7,1),0)</f>
        <v>25569.333333333332</v>
      </c>
      <c r="U7" s="74">
        <f>IF(WEEKDAY(T7,2)=7,T7-2,IF(WEEKDAY(T7,2)=6,T7-1,T7))+W7</f>
        <v>25569.333333333332</v>
      </c>
      <c r="V7" s="75" t="s">
        <v>546</v>
      </c>
      <c r="W7" s="71"/>
    </row>
    <row x14ac:dyDescent="0.25" r="8" customHeight="1" ht="21.75">
      <c r="A8" s="2"/>
      <c r="B8" s="62" t="s">
        <v>547</v>
      </c>
      <c r="C8" s="63" t="s">
        <v>548</v>
      </c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6"/>
      <c r="Q8" s="2"/>
      <c r="R8" s="2"/>
      <c r="S8" s="78">
        <v>6</v>
      </c>
      <c r="T8" s="79">
        <f>EOMONTH(DATE($T$1,S8,1),0)</f>
        <v>25569.333333333332</v>
      </c>
      <c r="U8" s="74">
        <f>IF(WEEKDAY(T8,2)=7,T8-2,IF(WEEKDAY(T8,2)=6,T8-1,T8))+W8</f>
        <v>25569.333333333332</v>
      </c>
      <c r="V8" s="75" t="s">
        <v>549</v>
      </c>
      <c r="W8" s="71"/>
    </row>
    <row x14ac:dyDescent="0.25" r="9" customHeight="1" ht="21.75">
      <c r="A9" s="2"/>
      <c r="B9" s="62" t="s">
        <v>550</v>
      </c>
      <c r="C9" s="63" t="s">
        <v>527</v>
      </c>
      <c r="D9" s="64"/>
      <c r="E9" s="65"/>
      <c r="F9" s="64"/>
      <c r="G9" s="64"/>
      <c r="H9" s="64"/>
      <c r="I9" s="64"/>
      <c r="J9" s="64"/>
      <c r="K9" s="64"/>
      <c r="L9" s="64"/>
      <c r="M9" s="64"/>
      <c r="N9" s="64"/>
      <c r="O9" s="64"/>
      <c r="P9" s="66"/>
      <c r="Q9" s="2"/>
      <c r="R9" s="2"/>
      <c r="S9" s="78">
        <v>7</v>
      </c>
      <c r="T9" s="79">
        <f>EOMONTH(DATE($T$1,S9,1),0)</f>
        <v>25569.333333333332</v>
      </c>
      <c r="U9" s="74">
        <f>IF(WEEKDAY(T9,2)=7,T9-2,IF(WEEKDAY(T9,2)=6,T9-1,T9))+W9</f>
        <v>25569.333333333332</v>
      </c>
      <c r="V9" s="75" t="s">
        <v>551</v>
      </c>
      <c r="W9" s="71"/>
    </row>
    <row x14ac:dyDescent="0.25" r="10" customHeight="1" ht="23.25">
      <c r="A10" s="2"/>
      <c r="B10" s="80" t="s">
        <v>552</v>
      </c>
      <c r="C10" s="81" t="s">
        <v>527</v>
      </c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3"/>
      <c r="Q10" s="2"/>
      <c r="R10" s="2"/>
      <c r="S10" s="78">
        <v>8</v>
      </c>
      <c r="T10" s="79">
        <f>EOMONTH(DATE($T$1,S10,1),0)</f>
        <v>25569.333333333332</v>
      </c>
      <c r="U10" s="74">
        <f>IF(WEEKDAY(T10,2)=7,T10-2,IF(WEEKDAY(T10,2)=6,T10-1,T10))+W10</f>
        <v>25569.333333333332</v>
      </c>
      <c r="V10" s="75" t="s">
        <v>553</v>
      </c>
      <c r="W10" s="71"/>
    </row>
    <row x14ac:dyDescent="0.25" r="11" customHeight="1" ht="21.75">
      <c r="A11" s="84" t="s">
        <v>554</v>
      </c>
      <c r="B11" s="62" t="s">
        <v>555</v>
      </c>
      <c r="C11" s="63" t="s">
        <v>548</v>
      </c>
      <c r="D11" s="85">
        <f>IFERROR(VLOOKUP(TEXT(IF(WEEKDAY(D1,2)=7,D1-2,IF(WEEKDAY(D1,2)=6,D1-1,D1)),"YYYYMMDD")&amp;"乖離率(60日)",國內_乖離率!$E:$F,2,0),"")</f>
      </c>
      <c r="E11" s="85">
        <f>IFERROR(VLOOKUP(TEXT(IF(WEEKDAY(E1,2)=7,E1-2,IF(WEEKDAY(E1,2)=6,E1-1,E1)),"YYYYMMDD")&amp;"乖離率(60日)",國內_乖離率!$E:$F,2,0),"")</f>
      </c>
      <c r="F11" s="85">
        <f>IFERROR(VLOOKUP(TEXT(IF(WEEKDAY(F1,2)=7,F1-2,IF(WEEKDAY(F1,2)=6,F1-1,F1)),"YYYYMMDD")&amp;"乖離率(60日)",國內_乖離率!$E:$F,2,0),"")</f>
      </c>
      <c r="G11" s="85">
        <f>IFERROR(VLOOKUP(TEXT(IF(WEEKDAY(G1,2)=7,G1-2,IF(WEEKDAY(G1,2)=6,G1-1,G1)),"YYYYMMDD")&amp;"乖離率(60日)",國內_乖離率!$E:$F,2,0),"")</f>
      </c>
      <c r="H11" s="85">
        <f>IFERROR(VLOOKUP(TEXT(IF(WEEKDAY(H1,2)=7,H1-2,IF(WEEKDAY(H1,2)=6,H1-1,H1)),"YYYYMMDD")&amp;"乖離率(60日)",國內_乖離率!$E:$F,2,0),"")</f>
      </c>
      <c r="I11" s="85">
        <f>IFERROR(VLOOKUP(TEXT(IF(WEEKDAY(I1,2)=7,I1-2,IF(WEEKDAY(I1,2)=6,I1-1,I1)),"YYYYMMDD")&amp;"乖離率(60日)",國內_乖離率!$E:$F,2,0),"")</f>
      </c>
      <c r="J11" s="85">
        <f>IFERROR(VLOOKUP(TEXT(IF(WEEKDAY(J1,2)=7,J1-2,IF(WEEKDAY(J1,2)=6,J1-1,J1)),"YYYYMMDD")&amp;"乖離率(60日)",國內_乖離率!$E:$F,2,0),"")</f>
      </c>
      <c r="K11" s="85">
        <f>IFERROR(VLOOKUP(TEXT(IF(WEEKDAY(K1,2)=7,K1-2,IF(WEEKDAY(K1,2)=6,K1-1,K1)),"YYYYMMDD")&amp;"乖離率(60日)",國內_乖離率!$E:$F,2,0),"")</f>
      </c>
      <c r="L11" s="85">
        <f>IFERROR(VLOOKUP(TEXT(IF(WEEKDAY(L1,2)=7,L1-2,IF(WEEKDAY(L1,2)=6,L1-1,L1)),"YYYYMMDD")&amp;"乖離率(60日)",國內_乖離率!$E:$F,2,0),"")</f>
      </c>
      <c r="M11" s="85">
        <f>IFERROR(VLOOKUP(TEXT(IF(WEEKDAY(M1,2)=7,M1-2,IF(WEEKDAY(M1,2)=6,M1-1,M1)),"YYYYMMDD")&amp;"乖離率(60日)",國內_乖離率!$E:$F,2,0),"")</f>
      </c>
      <c r="N11" s="85">
        <f>IFERROR(VLOOKUP(TEXT(IF(WEEKDAY(N1,2)=7,N1-2,IF(WEEKDAY(N1,2)=6,N1-1,N1)),"YYYYMMDD")&amp;"乖離率(60日)",國內_乖離率!$E:$F,2,0),"")</f>
      </c>
      <c r="O11" s="85">
        <f>IFERROR(VLOOKUP(TEXT(IF(WEEKDAY(O1,2)=7,O1-2,IF(WEEKDAY(O1,2)=6,O1-1,O1)),"YYYYMMDD")&amp;"乖離率(60日)",國內_乖離率!$E:$F,2,0),"")</f>
      </c>
      <c r="P11" s="86">
        <f>IFERROR(VLOOKUP(TEXT(IF(WEEKDAY(P1,2)=7,P1-2,IF(WEEKDAY(P1,2)=6,P1-1,P1)),"YYYYMMDD")&amp;"乖離率(60日)",國內_乖離率!$E:$F,2,0),"")</f>
      </c>
      <c r="Q11" s="2"/>
      <c r="R11" s="2"/>
      <c r="S11" s="78">
        <v>9</v>
      </c>
      <c r="T11" s="79">
        <f>EOMONTH(DATE($T$1,S11,1),0)</f>
        <v>25569.333333333332</v>
      </c>
      <c r="U11" s="74">
        <f>IF(WEEKDAY(T11,2)=7,T11-2,IF(WEEKDAY(T11,2)=6,T11-1,T11))+W11</f>
        <v>25569.333333333332</v>
      </c>
      <c r="V11" s="75" t="s">
        <v>556</v>
      </c>
      <c r="W11" s="71"/>
    </row>
    <row x14ac:dyDescent="0.25" r="12" customHeight="1" ht="21.75">
      <c r="A12" s="2"/>
      <c r="B12" s="62" t="s">
        <v>557</v>
      </c>
      <c r="C12" s="63" t="s">
        <v>548</v>
      </c>
      <c r="D12" s="85">
        <f>IFERROR(VLOOKUP(TEXT(IF(WEEKDAY(D1,2)=7,D1-2,IF(WEEKDAY(D1,2)=6,D1-1,D1)),"YYYYMMDD")&amp;"乖離率(60日)",國內_乖離率!$E:$G,3,0),"")</f>
      </c>
      <c r="E12" s="85">
        <f>IFERROR(VLOOKUP(TEXT(IF(WEEKDAY(E1,2)=7,E1-2,IF(WEEKDAY(E1,2)=6,E1-1,E1)),"YYYYMMDD")&amp;"乖離率(60日)",國內_乖離率!$E:$G,3,0),"")</f>
      </c>
      <c r="F12" s="85">
        <f>IFERROR(VLOOKUP(TEXT(IF(WEEKDAY(F1,2)=7,F1-2,IF(WEEKDAY(F1,2)=6,F1-1,F1)),"YYYYMMDD")&amp;"乖離率(60日)",國內_乖離率!$E:$G,3,0),"")</f>
      </c>
      <c r="G12" s="85">
        <f>IFERROR(VLOOKUP(TEXT(IF(WEEKDAY(G1,2)=7,G1-2,IF(WEEKDAY(G1,2)=6,G1-1,G1)),"YYYYMMDD")&amp;"乖離率(60日)",國內_乖離率!$E:$G,3,0),"")</f>
      </c>
      <c r="H12" s="85">
        <f>IFERROR(VLOOKUP(TEXT(IF(WEEKDAY(H1,2)=7,H1-2,IF(WEEKDAY(H1,2)=6,H1-1,H1)),"YYYYMMDD")&amp;"乖離率(60日)",國內_乖離率!$E:$G,3,0),"")</f>
      </c>
      <c r="I12" s="85">
        <f>IFERROR(VLOOKUP(TEXT(IF(WEEKDAY(I1,2)=7,I1-2,IF(WEEKDAY(I1,2)=6,I1-1,I1)),"YYYYMMDD")&amp;"乖離率(60日)",國內_乖離率!$E:$G,3,0),"")</f>
      </c>
      <c r="J12" s="85">
        <f>IFERROR(VLOOKUP(TEXT(IF(WEEKDAY(J1,2)=7,J1-2,IF(WEEKDAY(J1,2)=6,J1-1,J1)),"YYYYMMDD")&amp;"乖離率(60日)",國內_乖離率!$E:$G,3,0),"")</f>
      </c>
      <c r="K12" s="85">
        <f>IFERROR(VLOOKUP(TEXT(IF(WEEKDAY(K1,2)=7,K1-2,IF(WEEKDAY(K1,2)=6,K1-1,K1)),"YYYYMMDD")&amp;"乖離率(60日)",國內_乖離率!$E:$G,3,0),"")</f>
      </c>
      <c r="L12" s="85">
        <f>IFERROR(VLOOKUP(TEXT(IF(WEEKDAY(L1,2)=7,L1-2,IF(WEEKDAY(L1,2)=6,L1-1,L1)),"YYYYMMDD")&amp;"乖離率(60日)",國內_乖離率!$E:$G,3,0),"")</f>
      </c>
      <c r="M12" s="85">
        <f>IFERROR(VLOOKUP(TEXT(IF(WEEKDAY(M1,2)=7,M1-2,IF(WEEKDAY(M1,2)=6,M1-1,M1)),"YYYYMMDD")&amp;"乖離率(60日)",國內_乖離率!$E:$G,3,0),"")</f>
      </c>
      <c r="N12" s="85">
        <f>IFERROR(VLOOKUP(TEXT(IF(WEEKDAY(N1,2)=7,N1-2,IF(WEEKDAY(N1,2)=6,N1-1,N1)),"YYYYMMDD")&amp;"乖離率(60日)",國內_乖離率!$E:$G,3,0),"")</f>
      </c>
      <c r="O12" s="85">
        <f>IFERROR(VLOOKUP(TEXT(IF(WEEKDAY(O1,2)=7,O1-2,IF(WEEKDAY(O1,2)=6,O1-1,O1)),"YYYYMMDD")&amp;"乖離率(60日)",國內_乖離率!$E:$G,3,0),"")</f>
      </c>
      <c r="P12" s="86">
        <f>IFERROR(VLOOKUP(TEXT(IF(WEEKDAY(P1,2)=7,P1-2,IF(WEEKDAY(P1,2)=6,P1-1,P1)),"YYYYMMDD")&amp;"乖離率(60日)",國內_乖離率!$E:$G,3,0),"")</f>
      </c>
      <c r="Q12" s="2"/>
      <c r="R12" s="2"/>
      <c r="S12" s="78">
        <v>10</v>
      </c>
      <c r="T12" s="79">
        <f>EOMONTH(DATE($T$1,S12,1),0)</f>
        <v>25569.333333333332</v>
      </c>
      <c r="U12" s="74">
        <f>IF(WEEKDAY(T12,2)=7,T12-2,IF(WEEKDAY(T12,2)=6,T12-1,T12))+W12</f>
        <v>25569.333333333332</v>
      </c>
      <c r="V12" s="75" t="s">
        <v>558</v>
      </c>
      <c r="W12" s="71"/>
    </row>
    <row x14ac:dyDescent="0.25" r="13" customHeight="1" ht="21.75">
      <c r="A13" s="2"/>
      <c r="B13" s="62" t="s">
        <v>559</v>
      </c>
      <c r="C13" s="63" t="s">
        <v>527</v>
      </c>
      <c r="D13" s="85">
        <f>IFERROR(VLOOKUP(TEXT(IF(WEEKDAY(D1,2)=7,D1-2,IF(WEEKDAY(D1,2)=6,D1-1,D1)),"YYYYMMDD")&amp;"月MACD",國內擴充_MACD!$E:$G,2,0),"")</f>
      </c>
      <c r="E13" s="85">
        <f>IFERROR(VLOOKUP(TEXT(IF(WEEKDAY(E1,2)=7,E1-2,IF(WEEKDAY(E1,2)=6,E1-1,E1)),"YYYYMMDD")&amp;"月MACD",國內擴充_MACD!$E:$G,2,0),"")</f>
      </c>
      <c r="F13" s="85">
        <f>IFERROR(VLOOKUP(TEXT(IF(WEEKDAY(F1,2)=7,F1-2,IF(WEEKDAY(F1,2)=6,F1-1,F1)),"YYYYMMDD")&amp;"月MACD",國內擴充_MACD!$E:$G,2,0),"")</f>
      </c>
      <c r="G13" s="85">
        <f>IFERROR(VLOOKUP(TEXT(IF(WEEKDAY(G1,2)=7,G1-2,IF(WEEKDAY(G1,2)=6,G1-1,G1)),"YYYYMMDD")&amp;"月MACD",國內擴充_MACD!$E:$G,2,0),"")</f>
      </c>
      <c r="H13" s="85">
        <f>IFERROR(VLOOKUP(TEXT(IF(WEEKDAY(H1,2)=7,H1-2,IF(WEEKDAY(H1,2)=6,H1-1,H1)),"YYYYMMDD")&amp;"月MACD",國內擴充_MACD!$E:$G,2,0),"")</f>
      </c>
      <c r="I13" s="85">
        <f>IFERROR(VLOOKUP(TEXT(IF(WEEKDAY(I1,2)=7,I1-2,IF(WEEKDAY(I1,2)=6,I1-1,I1)),"YYYYMMDD")&amp;"月MACD",國內擴充_MACD!$E:$G,2,0),"")</f>
      </c>
      <c r="J13" s="85">
        <f>IFERROR(VLOOKUP(TEXT(IF(WEEKDAY(J1,2)=7,J1-2,IF(WEEKDAY(J1,2)=6,J1-1,J1)),"YYYYMMDD")&amp;"月MACD",國內擴充_MACD!$E:$G,2,0),"")</f>
      </c>
      <c r="K13" s="85">
        <f>IFERROR(VLOOKUP(TEXT(IF(WEEKDAY(K1,2)=7,K1-2,IF(WEEKDAY(K1,2)=6,K1-1,K1)),"YYYYMMDD")&amp;"月MACD",國內擴充_MACD!$E:$G,2,0),"")</f>
      </c>
      <c r="L13" s="85">
        <f>IFERROR(VLOOKUP(TEXT(IF(WEEKDAY(L1,2)=7,L1-2,IF(WEEKDAY(L1,2)=6,L1-1,L1)),"YYYYMMDD")&amp;"月MACD",國內擴充_MACD!$E:$G,2,0),"")</f>
      </c>
      <c r="M13" s="85">
        <f>IFERROR(VLOOKUP(TEXT(IF(WEEKDAY(M1,2)=7,M1-2,IF(WEEKDAY(M1,2)=6,M1-1,M1)),"YYYYMMDD")&amp;"月MACD",國內擴充_MACD!$E:$G,2,0),"")</f>
      </c>
      <c r="N13" s="85">
        <f>IFERROR(VLOOKUP(TEXT(IF(WEEKDAY(N1,2)=7,N1-2,IF(WEEKDAY(N1,2)=6,N1-1,N1)),"YYYYMMDD")&amp;"月MACD",國內擴充_MACD!$E:$G,2,0),"")</f>
      </c>
      <c r="O13" s="85">
        <f>IFERROR(VLOOKUP(TEXT(IF(WEEKDAY(O1,2)=7,O1-2,IF(WEEKDAY(O1,2)=6,O1-1,O1)),"YYYYMMDD")&amp;"月MACD",國內擴充_MACD!$E:$G,2,0),"")</f>
      </c>
      <c r="P13" s="86">
        <f>IFERROR(VLOOKUP(TEXT(IF(WEEKDAY(P1,2)=7,P1-2,IF(WEEKDAY(P1,2)=6,P1-1,P1)),"YYYYMMDD")&amp;"月MACD",國內擴充_MACD!$E:$G,2,0),"")</f>
      </c>
      <c r="Q13" s="2"/>
      <c r="R13" s="2"/>
      <c r="S13" s="78">
        <v>11</v>
      </c>
      <c r="T13" s="79">
        <f>EOMONTH(DATE($T$1,S13,1),0)</f>
        <v>25569.333333333332</v>
      </c>
      <c r="U13" s="74">
        <f>IF(WEEKDAY(T13,2)=7,T13-2,IF(WEEKDAY(T13,2)=6,T13-1,T13))+W13</f>
        <v>25569.333333333332</v>
      </c>
      <c r="V13" s="87"/>
      <c r="W13" s="71"/>
    </row>
    <row x14ac:dyDescent="0.25" r="14" customHeight="1" ht="21.75">
      <c r="A14" s="2"/>
      <c r="B14" s="62" t="s">
        <v>560</v>
      </c>
      <c r="C14" s="63" t="s">
        <v>527</v>
      </c>
      <c r="D14" s="85">
        <f>IFERROR(VLOOKUP(TEXT(IF(WEEKDAY(D1,2)=7,D1-2,IF(WEEKDAY(D1,2)=6,D1-1,D1)),"YYYYMMDD")&amp;"月MACD",國內擴充_MACD!$E:$G,3,0),"")</f>
      </c>
      <c r="E14" s="85">
        <f>IFERROR(VLOOKUP(TEXT(IF(WEEKDAY(E1,2)=7,E1-2,IF(WEEKDAY(E1,2)=6,E1-1,E1)),"YYYYMMDD")&amp;"月MACD",國內擴充_MACD!$E:$G,3,0),"")</f>
      </c>
      <c r="F14" s="85">
        <f>IFERROR(VLOOKUP(TEXT(IF(WEEKDAY(F1,2)=7,F1-2,IF(WEEKDAY(F1,2)=6,F1-1,F1)),"YYYYMMDD")&amp;"月MACD",國內擴充_MACD!$E:$G,3,0),"")</f>
      </c>
      <c r="G14" s="85">
        <f>IFERROR(VLOOKUP(TEXT(IF(WEEKDAY(G1,2)=7,G1-2,IF(WEEKDAY(G1,2)=6,G1-1,G1)),"YYYYMMDD")&amp;"月MACD",國內擴充_MACD!$E:$G,3,0),"")</f>
      </c>
      <c r="H14" s="85">
        <f>IFERROR(VLOOKUP(TEXT(IF(WEEKDAY(H1,2)=7,H1-2,IF(WEEKDAY(H1,2)=6,H1-1,H1)),"YYYYMMDD")&amp;"月MACD",國內擴充_MACD!$E:$G,3,0),"")</f>
      </c>
      <c r="I14" s="85">
        <f>IFERROR(VLOOKUP(TEXT(IF(WEEKDAY(I1,2)=7,I1-2,IF(WEEKDAY(I1,2)=6,I1-1,I1)),"YYYYMMDD")&amp;"月MACD",國內擴充_MACD!$E:$G,3,0),"")</f>
      </c>
      <c r="J14" s="85">
        <f>IFERROR(VLOOKUP(TEXT(IF(WEEKDAY(J1,2)=7,J1-2,IF(WEEKDAY(J1,2)=6,J1-1,J1)),"YYYYMMDD")&amp;"月MACD",國內擴充_MACD!$E:$G,3,0),"")</f>
      </c>
      <c r="K14" s="85">
        <f>IFERROR(VLOOKUP(TEXT(IF(WEEKDAY(K1,2)=7,K1-2,IF(WEEKDAY(K1,2)=6,K1-1,K1)),"YYYYMMDD")&amp;"月MACD",國內擴充_MACD!$E:$G,3,0),"")</f>
      </c>
      <c r="L14" s="85">
        <f>IFERROR(VLOOKUP(TEXT(IF(WEEKDAY(L1,2)=7,L1-2,IF(WEEKDAY(L1,2)=6,L1-1,L1)),"YYYYMMDD")&amp;"月MACD",國內擴充_MACD!$E:$G,3,0),"")</f>
      </c>
      <c r="M14" s="85">
        <f>IFERROR(VLOOKUP(TEXT(IF(WEEKDAY(M1,2)=7,M1-2,IF(WEEKDAY(M1,2)=6,M1-1,M1)),"YYYYMMDD")&amp;"月MACD",國內擴充_MACD!$E:$G,3,0),"")</f>
      </c>
      <c r="N14" s="85">
        <f>IFERROR(VLOOKUP(TEXT(IF(WEEKDAY(N1,2)=7,N1-2,IF(WEEKDAY(N1,2)=6,N1-1,N1)),"YYYYMMDD")&amp;"月MACD",國內擴充_MACD!$E:$G,3,0),"")</f>
      </c>
      <c r="O14" s="85">
        <f>IFERROR(VLOOKUP(TEXT(IF(WEEKDAY(O1,2)=7,O1-2,IF(WEEKDAY(O1,2)=6,O1-1,O1)),"YYYYMMDD")&amp;"月MACD",國內擴充_MACD!$E:$G,3,0),"")</f>
      </c>
      <c r="P14" s="86">
        <f>IFERROR(VLOOKUP(TEXT(IF(WEEKDAY(P1,2)=7,P1-2,IF(WEEKDAY(P1,2)=6,P1-1,P1)),"YYYYMMDD")&amp;"月MACD",國內擴充_MACD!$E:$G,3,0),"")</f>
      </c>
      <c r="Q14" s="2"/>
      <c r="R14" s="2"/>
      <c r="S14" s="88">
        <v>12</v>
      </c>
      <c r="T14" s="89">
        <f>EOMONTH(DATE($T$1,S14,1),0)</f>
        <v>25569.333333333332</v>
      </c>
      <c r="U14" s="74">
        <f>IF(WEEKDAY(T14,2)=7,T14-2,IF(WEEKDAY(T14,2)=6,T14-1,T14))+W14</f>
        <v>25569.333333333332</v>
      </c>
      <c r="V14" s="87"/>
      <c r="W14" s="71"/>
    </row>
    <row x14ac:dyDescent="0.25" r="15" customHeight="1" ht="21.75">
      <c r="A15" s="2"/>
      <c r="B15" s="62" t="s">
        <v>561</v>
      </c>
      <c r="C15" s="63" t="s">
        <v>527</v>
      </c>
      <c r="D15" s="85">
        <f>IFERROR(VLOOKUP(TEXT(IF(WEEKDAY(D1,2)=7,D1-2,IF(WEEKDAY(D1,2)=6,D1-1,D1)),"YYYYMMDD")&amp;"月DIF",國內擴充_DIF!$E:$F,2,0),"")</f>
      </c>
      <c r="E15" s="85">
        <f>IFERROR(VLOOKUP(TEXT(IF(WEEKDAY(E1,2)=7,E1-2,IF(WEEKDAY(E1,2)=6,E1-1,E1)),"YYYYMMDD")&amp;"月DIF",國內擴充_DIF!$E:$F,2,0),"")</f>
      </c>
      <c r="F15" s="85">
        <f>IFERROR(VLOOKUP(TEXT(IF(WEEKDAY(F1,2)=7,F1-2,IF(WEEKDAY(F1,2)=6,F1-1,F1)),"YYYYMMDD")&amp;"月DIF",國內擴充_DIF!$E:$F,2,0),"")</f>
      </c>
      <c r="G15" s="85">
        <f>IFERROR(VLOOKUP(TEXT(IF(WEEKDAY(G1,2)=7,G1-2,IF(WEEKDAY(G1,2)=6,G1-1,G1)),"YYYYMMDD")&amp;"月DIF",國內擴充_DIF!$E:$F,2,0),"")</f>
      </c>
      <c r="H15" s="85">
        <f>IFERROR(VLOOKUP(TEXT(IF(WEEKDAY(H1,2)=7,H1-2,IF(WEEKDAY(H1,2)=6,H1-1,H1)),"YYYYMMDD")&amp;"月DIF",國內擴充_DIF!$E:$F,2,0),"")</f>
      </c>
      <c r="I15" s="85">
        <f>IFERROR(VLOOKUP(TEXT(IF(WEEKDAY(I1,2)=7,I1-2,IF(WEEKDAY(I1,2)=6,I1-1,I1)),"YYYYMMDD")&amp;"月DIF",國內擴充_DIF!$E:$F,2,0),"")</f>
      </c>
      <c r="J15" s="85">
        <f>IFERROR(VLOOKUP(TEXT(IF(WEEKDAY(J1,2)=7,J1-2,IF(WEEKDAY(J1,2)=6,J1-1,J1)),"YYYYMMDD")&amp;"月DIF",國內擴充_DIF!$E:$F,2,0),"")</f>
      </c>
      <c r="K15" s="85">
        <f>IFERROR(VLOOKUP(TEXT(IF(WEEKDAY(K1,2)=7,K1-2,IF(WEEKDAY(K1,2)=6,K1-1,K1)),"YYYYMMDD")&amp;"月DIF",國內擴充_DIF!$E:$F,2,0),"")</f>
      </c>
      <c r="L15" s="85">
        <f>IFERROR(VLOOKUP(TEXT(IF(WEEKDAY(L1,2)=7,L1-2,IF(WEEKDAY(L1,2)=6,L1-1,L1)),"YYYYMMDD")&amp;"月DIF",國內擴充_DIF!$E:$F,2,0),"")</f>
      </c>
      <c r="M15" s="85">
        <f>IFERROR(VLOOKUP(TEXT(IF(WEEKDAY(M1,2)=7,M1-2,IF(WEEKDAY(M1,2)=6,M1-1,M1)),"YYYYMMDD")&amp;"月DIF",國內擴充_DIF!$E:$F,2,0),"")</f>
      </c>
      <c r="N15" s="85">
        <f>IFERROR(VLOOKUP(TEXT(IF(WEEKDAY(N1,2)=7,N1-2,IF(WEEKDAY(N1,2)=6,N1-1,N1)),"YYYYMMDD")&amp;"月DIF",國內擴充_DIF!$E:$F,2,0),"")</f>
      </c>
      <c r="O15" s="85">
        <f>IFERROR(VLOOKUP(TEXT(IF(WEEKDAY(O1,2)=7,O1-2,IF(WEEKDAY(O1,2)=6,O1-1,O1)),"YYYYMMDD")&amp;"月DIF",國內擴充_DIF!$E:$F,2,0),"")</f>
      </c>
      <c r="P15" s="86">
        <f>IFERROR(VLOOKUP(TEXT(IF(WEEKDAY(P1,2)=7,P1-2,IF(WEEKDAY(P1,2)=6,P1-1,P1)),"YYYYMMDD")&amp;"月DIF",國內擴充_DIF!$E:$F,2,0),"")</f>
      </c>
      <c r="Q15" s="2"/>
      <c r="R15" s="2"/>
      <c r="S15" s="11"/>
      <c r="T15" s="90"/>
      <c r="U15" s="90"/>
      <c r="V15" s="2"/>
      <c r="W15" s="11"/>
    </row>
    <row x14ac:dyDescent="0.25" r="16" customHeight="1" ht="21.75">
      <c r="A16" s="2"/>
      <c r="B16" s="62" t="s">
        <v>562</v>
      </c>
      <c r="C16" s="63" t="s">
        <v>527</v>
      </c>
      <c r="D16" s="85">
        <f>IFERROR(VLOOKUP(TEXT(IF(WEEKDAY(D1,2)=7,D1-2,IF(WEEKDAY(D1,2)=6,D1-1,D1)),"YYYYMMDD")&amp;"月ADX(14)",國內擴充_ADX!$E:$F,2,0),"")</f>
      </c>
      <c r="E16" s="85">
        <f>IFERROR(VLOOKUP(TEXT(IF(WEEKDAY(E1,2)=7,E1-2,IF(WEEKDAY(E1,2)=6,E1-1,E1)),"YYYYMMDD")&amp;"月ADX(14)",國內擴充_ADX!$E:$F,2,0),"")</f>
      </c>
      <c r="F16" s="85">
        <f>IFERROR(VLOOKUP(TEXT(IF(WEEKDAY(F1,2)=7,F1-2,IF(WEEKDAY(F1,2)=6,F1-1,F1)),"YYYYMMDD")&amp;"月ADX(14)",國內擴充_ADX!$E:$F,2,0),"")</f>
      </c>
      <c r="G16" s="85">
        <f>IFERROR(VLOOKUP(TEXT(IF(WEEKDAY(G1,2)=7,G1-2,IF(WEEKDAY(G1,2)=6,G1-1,G1)),"YYYYMMDD")&amp;"月ADX(14)",國內擴充_ADX!$E:$F,2,0),"")</f>
      </c>
      <c r="H16" s="85">
        <f>IFERROR(VLOOKUP(TEXT(IF(WEEKDAY(H1,2)=7,H1-2,IF(WEEKDAY(H1,2)=6,H1-1,H1)),"YYYYMMDD")&amp;"月ADX(14)",國內擴充_ADX!$E:$F,2,0),"")</f>
      </c>
      <c r="I16" s="85">
        <f>IFERROR(VLOOKUP(TEXT(IF(WEEKDAY(I1,2)=7,I1-2,IF(WEEKDAY(I1,2)=6,I1-1,I1)),"YYYYMMDD")&amp;"月ADX(14)",國內擴充_ADX!$E:$F,2,0),"")</f>
      </c>
      <c r="J16" s="85">
        <f>IFERROR(VLOOKUP(TEXT(IF(WEEKDAY(J1,2)=7,J1-2,IF(WEEKDAY(J1,2)=6,J1-1,J1)),"YYYYMMDD")&amp;"月ADX(14)",國內擴充_ADX!$E:$F,2,0),"")</f>
      </c>
      <c r="K16" s="85">
        <f>IFERROR(VLOOKUP(TEXT(IF(WEEKDAY(K1,2)=7,K1-2,IF(WEEKDAY(K1,2)=6,K1-1,K1)),"YYYYMMDD")&amp;"月ADX(14)",國內擴充_ADX!$E:$F,2,0),"")</f>
      </c>
      <c r="L16" s="85">
        <f>IFERROR(VLOOKUP(TEXT(IF(WEEKDAY(L1,2)=7,L1-2,IF(WEEKDAY(L1,2)=6,L1-1,L1)),"YYYYMMDD")&amp;"月ADX(14)",國內擴充_ADX!$E:$F,2,0),"")</f>
      </c>
      <c r="M16" s="85">
        <f>IFERROR(VLOOKUP(TEXT(IF(WEEKDAY(M1,2)=7,M1-2,IF(WEEKDAY(M1,2)=6,M1-1,M1)),"YYYYMMDD")&amp;"月ADX(14)",國內擴充_ADX!$E:$F,2,0),"")</f>
      </c>
      <c r="N16" s="85">
        <f>IFERROR(VLOOKUP(TEXT(IF(WEEKDAY(N1,2)=7,N1-2,IF(WEEKDAY(N1,2)=6,N1-1,N1)),"YYYYMMDD")&amp;"月ADX(14)",國內擴充_ADX!$E:$F,2,0),"")</f>
      </c>
      <c r="O16" s="85">
        <f>IFERROR(VLOOKUP(TEXT(IF(WEEKDAY(O1,2)=7,O1-2,IF(WEEKDAY(O1,2)=6,O1-1,O1)),"YYYYMMDD")&amp;"月ADX(14)",國內擴充_ADX!$E:$F,2,0),"")</f>
      </c>
      <c r="P16" s="86">
        <f>IFERROR(VLOOKUP(TEXT(IF(WEEKDAY(P1,2)=7,P1-2,IF(WEEKDAY(P1,2)=6,P1-1,P1)),"YYYYMMDD")&amp;"月ADX(14)",國內擴充_ADX!$E:$F,2,0),"")</f>
      </c>
      <c r="Q16" s="2"/>
      <c r="R16" s="2"/>
      <c r="S16" s="11"/>
      <c r="T16" s="90"/>
      <c r="U16" s="91"/>
      <c r="V16" s="2"/>
      <c r="W16" s="11"/>
    </row>
    <row x14ac:dyDescent="0.25" r="17" customHeight="1" ht="21.75">
      <c r="A17" s="2"/>
      <c r="B17" s="62" t="s">
        <v>563</v>
      </c>
      <c r="C17" s="63" t="s">
        <v>564</v>
      </c>
      <c r="D17" s="85">
        <f>IFERROR(VLOOKUP(TEXT(D1,"yyyymm")&amp;"本益比",國內_本益比!$E:$J,2,0),"")</f>
      </c>
      <c r="E17" s="85">
        <f>IFERROR(VLOOKUP(TEXT(E1,"yyyymm")&amp;"本益比",國內_本益比!$E:$J,2,0),"")</f>
      </c>
      <c r="F17" s="85">
        <f>IFERROR(VLOOKUP(TEXT(F1,"yyyymm")&amp;"本益比",國內_本益比!$E:$J,2,0),"")</f>
      </c>
      <c r="G17" s="85">
        <f>IFERROR(VLOOKUP(TEXT(G1,"yyyymm")&amp;"本益比",國內_本益比!$E:$J,2,0),"")</f>
      </c>
      <c r="H17" s="85">
        <f>IFERROR(VLOOKUP(TEXT(H1,"yyyymm")&amp;"本益比",國內_本益比!$E:$J,2,0),"")</f>
      </c>
      <c r="I17" s="85">
        <f>IFERROR(VLOOKUP(TEXT(I1,"yyyymm")&amp;"本益比",國內_本益比!$E:$J,2,0),"")</f>
      </c>
      <c r="J17" s="85">
        <f>IFERROR(VLOOKUP(TEXT(J1,"yyyymm")&amp;"本益比",國內_本益比!$E:$J,2,0),"")</f>
      </c>
      <c r="K17" s="85">
        <f>IFERROR(VLOOKUP(TEXT(K1,"yyyymm")&amp;"本益比",國內_本益比!$E:$J,2,0),"")</f>
      </c>
      <c r="L17" s="85">
        <f>IFERROR(VLOOKUP(TEXT(L1,"yyyymm")&amp;"本益比",國內_本益比!$E:$J,2,0),"")</f>
      </c>
      <c r="M17" s="85">
        <f>IFERROR(VLOOKUP(TEXT(M1,"yyyymm")&amp;"本益比",國內_本益比!$E:$J,2,0),"")</f>
      </c>
      <c r="N17" s="85">
        <f>IFERROR(VLOOKUP(TEXT(N1,"yyyymm")&amp;"本益比",國內_本益比!$E:$J,2,0),"")</f>
      </c>
      <c r="O17" s="85">
        <f>IFERROR(VLOOKUP(TEXT(O1,"yyyymm")&amp;"本益比",國內_本益比!$E:$J,2,0),"")</f>
      </c>
      <c r="P17" s="86">
        <f>IFERROR(VLOOKUP(TEXT(P1,"yyyymm")&amp;"本益比",國內_本益比!$E:$J,2,0),"")</f>
      </c>
      <c r="Q17" s="2"/>
      <c r="R17" s="2"/>
      <c r="S17" s="11"/>
      <c r="T17" s="90"/>
      <c r="U17" s="90"/>
      <c r="V17" s="2"/>
      <c r="W17" s="11"/>
    </row>
    <row x14ac:dyDescent="0.25" r="18" customHeight="1" ht="38.25">
      <c r="A18" s="2"/>
      <c r="B18" s="62" t="s">
        <v>565</v>
      </c>
      <c r="C18" s="63" t="s">
        <v>564</v>
      </c>
      <c r="D18" s="85">
        <f>IFERROR(VLOOKUP(TEXT(D1,"yyyymm")&amp;"本益比",國內_本益比!$E:$J,3,0),"")</f>
      </c>
      <c r="E18" s="85">
        <f>IFERROR(VLOOKUP(TEXT(E1,"yyyymm")&amp;"本益比",國內_本益比!$E:$J,3,0),"")</f>
      </c>
      <c r="F18" s="85">
        <f>IFERROR(VLOOKUP(TEXT(F1,"yyyymm")&amp;"本益比",國內_本益比!$E:$J,3,0),"")</f>
      </c>
      <c r="G18" s="85">
        <f>IFERROR(VLOOKUP(TEXT(G1,"yyyymm")&amp;"本益比",國內_本益比!$E:$J,3,0),"")</f>
      </c>
      <c r="H18" s="85">
        <f>IFERROR(VLOOKUP(TEXT(H1,"yyyymm")&amp;"本益比",國內_本益比!$E:$J,3,0),"")</f>
      </c>
      <c r="I18" s="85">
        <f>IFERROR(VLOOKUP(TEXT(I1,"yyyymm")&amp;"本益比",國內_本益比!$E:$J,3,0),"")</f>
      </c>
      <c r="J18" s="85">
        <f>IFERROR(VLOOKUP(TEXT(J1,"yyyymm")&amp;"本益比",國內_本益比!$E:$J,3,0),"")</f>
      </c>
      <c r="K18" s="85">
        <f>IFERROR(VLOOKUP(TEXT(K1,"yyyymm")&amp;"本益比",國內_本益比!$E:$J,3,0),"")</f>
      </c>
      <c r="L18" s="85">
        <f>IFERROR(VLOOKUP(TEXT(L1,"yyyymm")&amp;"本益比",國內_本益比!$E:$J,3,0),"")</f>
      </c>
      <c r="M18" s="85">
        <f>IFERROR(VLOOKUP(TEXT(M1,"yyyymm")&amp;"本益比",國內_本益比!$E:$J,3,0),"")</f>
      </c>
      <c r="N18" s="85">
        <f>IFERROR(VLOOKUP(TEXT(N1,"yyyymm")&amp;"本益比",國內_本益比!$E:$J,3,0),"")</f>
      </c>
      <c r="O18" s="85">
        <f>IFERROR(VLOOKUP(TEXT(O1,"yyyymm")&amp;"本益比",國內_本益比!$E:$J,3,0),"")</f>
      </c>
      <c r="P18" s="86">
        <f>IFERROR(VLOOKUP(TEXT(P1,"yyyymm")&amp;"本益比",國內_本益比!$E:$J,3,0),"")</f>
      </c>
      <c r="Q18" s="2"/>
      <c r="R18" s="2"/>
      <c r="S18" s="11"/>
      <c r="T18" s="90"/>
      <c r="U18" s="90"/>
      <c r="V18" s="2"/>
      <c r="W18" s="11"/>
    </row>
    <row x14ac:dyDescent="0.25" r="19" customHeight="1" ht="21.75">
      <c r="A19" s="2"/>
      <c r="B19" s="62" t="s">
        <v>566</v>
      </c>
      <c r="C19" s="63" t="s">
        <v>564</v>
      </c>
      <c r="D19" s="85">
        <f>IFERROR(VLOOKUP(TEXT(D1,"yyyymm")&amp;"本益比",國內_本益比!$E:$J,4,0),"")</f>
      </c>
      <c r="E19" s="85">
        <f>IFERROR(VLOOKUP(TEXT(E1,"yyyymm")&amp;"本益比",國內_本益比!$E:$J,4,0),"")</f>
      </c>
      <c r="F19" s="85">
        <f>IFERROR(VLOOKUP(TEXT(F1,"yyyymm")&amp;"本益比",國內_本益比!$E:$J,4,0),"")</f>
      </c>
      <c r="G19" s="85">
        <f>IFERROR(VLOOKUP(TEXT(G1,"yyyymm")&amp;"本益比",國內_本益比!$E:$J,4,0),"")</f>
      </c>
      <c r="H19" s="85">
        <f>IFERROR(VLOOKUP(TEXT(H1,"yyyymm")&amp;"本益比",國內_本益比!$E:$J,4,0),"")</f>
      </c>
      <c r="I19" s="85">
        <f>IFERROR(VLOOKUP(TEXT(I1,"yyyymm")&amp;"本益比",國內_本益比!$E:$J,4,0),"")</f>
      </c>
      <c r="J19" s="85">
        <f>IFERROR(VLOOKUP(TEXT(J1,"yyyymm")&amp;"本益比",國內_本益比!$E:$J,4,0),"")</f>
      </c>
      <c r="K19" s="85">
        <f>IFERROR(VLOOKUP(TEXT(K1,"yyyymm")&amp;"本益比",國內_本益比!$E:$J,4,0),"")</f>
      </c>
      <c r="L19" s="85">
        <f>IFERROR(VLOOKUP(TEXT(L1,"yyyymm")&amp;"本益比",國內_本益比!$E:$J,4,0),"")</f>
      </c>
      <c r="M19" s="85">
        <f>IFERROR(VLOOKUP(TEXT(M1,"yyyymm")&amp;"本益比",國內_本益比!$E:$J,4,0),"")</f>
      </c>
      <c r="N19" s="85">
        <f>IFERROR(VLOOKUP(TEXT(N1,"yyyymm")&amp;"本益比",國內_本益比!$E:$J,4,0),"")</f>
      </c>
      <c r="O19" s="85">
        <f>IFERROR(VLOOKUP(TEXT(O1,"yyyymm")&amp;"本益比",國內_本益比!$E:$J,4,0),"")</f>
      </c>
      <c r="P19" s="86">
        <f>IFERROR(VLOOKUP(TEXT(P1,"yyyymm")&amp;"本益比",國內_本益比!$E:$J,4,0),"")</f>
      </c>
      <c r="Q19" s="2"/>
      <c r="R19" s="2"/>
      <c r="S19" s="11"/>
      <c r="T19" s="90"/>
      <c r="U19" s="90"/>
      <c r="V19" s="2"/>
      <c r="W19" s="11"/>
    </row>
    <row x14ac:dyDescent="0.25" r="20" customHeight="1" ht="21.75">
      <c r="A20" s="2"/>
      <c r="B20" s="62" t="s">
        <v>567</v>
      </c>
      <c r="C20" s="63" t="s">
        <v>564</v>
      </c>
      <c r="D20" s="85">
        <f>IFERROR(VLOOKUP(TEXT(D1,"yyyymm")&amp;"本益比",國內_本益比!$E:$J,5,0),"")</f>
      </c>
      <c r="E20" s="85">
        <f>IFERROR(VLOOKUP(TEXT(E1,"yyyymm")&amp;"本益比",國內_本益比!$E:$J,5,0),"")</f>
      </c>
      <c r="F20" s="85">
        <f>IFERROR(VLOOKUP(TEXT(F1,"yyyymm")&amp;"本益比",國內_本益比!$E:$J,5,0),"")</f>
      </c>
      <c r="G20" s="85">
        <f>IFERROR(VLOOKUP(TEXT(G1,"yyyymm")&amp;"本益比",國內_本益比!$E:$J,5,0),"")</f>
      </c>
      <c r="H20" s="85">
        <f>IFERROR(VLOOKUP(TEXT(H1,"yyyymm")&amp;"本益比",國內_本益比!$E:$J,5,0),"")</f>
      </c>
      <c r="I20" s="85">
        <f>IFERROR(VLOOKUP(TEXT(I1,"yyyymm")&amp;"本益比",國內_本益比!$E:$J,5,0),"")</f>
      </c>
      <c r="J20" s="85">
        <f>IFERROR(VLOOKUP(TEXT(J1,"yyyymm")&amp;"本益比",國內_本益比!$E:$J,5,0),"")</f>
      </c>
      <c r="K20" s="85">
        <f>IFERROR(VLOOKUP(TEXT(K1,"yyyymm")&amp;"本益比",國內_本益比!$E:$J,5,0),"")</f>
      </c>
      <c r="L20" s="85">
        <f>IFERROR(VLOOKUP(TEXT(L1,"yyyymm")&amp;"本益比",國內_本益比!$E:$J,5,0),"")</f>
      </c>
      <c r="M20" s="85">
        <f>IFERROR(VLOOKUP(TEXT(M1,"yyyymm")&amp;"本益比",國內_本益比!$E:$J,5,0),"")</f>
      </c>
      <c r="N20" s="85">
        <f>IFERROR(VLOOKUP(TEXT(N1,"yyyymm")&amp;"本益比",國內_本益比!$E:$J,5,0),"")</f>
      </c>
      <c r="O20" s="85">
        <f>IFERROR(VLOOKUP(TEXT(O1,"yyyymm")&amp;"本益比",國內_本益比!$E:$J,5,0),"")</f>
      </c>
      <c r="P20" s="86">
        <f>IFERROR(VLOOKUP(TEXT(P1,"yyyymm")&amp;"本益比",國內_本益比!$E:$J,5,0),"")</f>
      </c>
      <c r="Q20" s="2"/>
      <c r="R20" s="2"/>
      <c r="S20" s="11"/>
      <c r="T20" s="90"/>
      <c r="U20" s="90"/>
      <c r="V20" s="2"/>
      <c r="W20" s="11"/>
    </row>
    <row x14ac:dyDescent="0.25" r="21" customHeight="1" ht="21.75">
      <c r="A21" s="2"/>
      <c r="B21" s="62" t="s">
        <v>568</v>
      </c>
      <c r="C21" s="63" t="s">
        <v>564</v>
      </c>
      <c r="D21" s="85">
        <f>IFERROR(VLOOKUP(TEXT(D1,"yyyymm")&amp;"本益比",國內_本益比!$E:$J,6,0),"")</f>
      </c>
      <c r="E21" s="85">
        <f>IFERROR(VLOOKUP(TEXT(E1,"yyyymm")&amp;"本益比",國內_本益比!$E:$J,6,0),"")</f>
      </c>
      <c r="F21" s="85">
        <f>IFERROR(VLOOKUP(TEXT(F1,"yyyymm")&amp;"本益比",國內_本益比!$E:$J,6,0),"")</f>
      </c>
      <c r="G21" s="85">
        <f>IFERROR(VLOOKUP(TEXT(G1,"yyyymm")&amp;"本益比",國內_本益比!$E:$J,6,0),"")</f>
      </c>
      <c r="H21" s="85">
        <f>IFERROR(VLOOKUP(TEXT(H1,"yyyymm")&amp;"本益比",國內_本益比!$E:$J,6,0),"")</f>
      </c>
      <c r="I21" s="85">
        <f>IFERROR(VLOOKUP(TEXT(I1,"yyyymm")&amp;"本益比",國內_本益比!$E:$J,6,0),"")</f>
      </c>
      <c r="J21" s="85">
        <f>IFERROR(VLOOKUP(TEXT(J1,"yyyymm")&amp;"本益比",國內_本益比!$E:$J,6,0),"")</f>
      </c>
      <c r="K21" s="85">
        <f>IFERROR(VLOOKUP(TEXT(K1,"yyyymm")&amp;"本益比",國內_本益比!$E:$J,6,0),"")</f>
      </c>
      <c r="L21" s="85">
        <f>IFERROR(VLOOKUP(TEXT(L1,"yyyymm")&amp;"本益比",國內_本益比!$E:$J,6,0),"")</f>
      </c>
      <c r="M21" s="85">
        <f>IFERROR(VLOOKUP(TEXT(M1,"yyyymm")&amp;"本益比",國內_本益比!$E:$J,6,0),"")</f>
      </c>
      <c r="N21" s="85">
        <f>IFERROR(VLOOKUP(TEXT(N1,"yyyymm")&amp;"本益比",國內_本益比!$E:$J,6,0),"")</f>
      </c>
      <c r="O21" s="85">
        <f>IFERROR(VLOOKUP(TEXT(O1,"yyyymm")&amp;"本益比",國內_本益比!$E:$J,6,0),"")</f>
      </c>
      <c r="P21" s="86">
        <f>IFERROR(VLOOKUP(TEXT(P1,"yyyymm")&amp;"本益比",國內_本益比!$E:$J,6,0),"")</f>
      </c>
      <c r="Q21" s="2"/>
      <c r="R21" s="2"/>
      <c r="S21" s="11"/>
      <c r="T21" s="90"/>
      <c r="U21" s="90"/>
      <c r="V21" s="2"/>
      <c r="W21" s="11"/>
    </row>
    <row x14ac:dyDescent="0.25" r="22" customHeight="1" ht="24">
      <c r="A22" s="2"/>
      <c r="B22" s="62" t="s">
        <v>569</v>
      </c>
      <c r="C22" s="63" t="s">
        <v>564</v>
      </c>
      <c r="D22" s="85">
        <f>IFERROR(VLOOKUP(TEXT(D1,"yyyymm")&amp;"股價淨值比",國內_淨值比!$E:$J,2,0),"")</f>
      </c>
      <c r="E22" s="85">
        <f>IFERROR(VLOOKUP(TEXT(E1,"yyyymm")&amp;"股價淨值比",國內_淨值比!$E:$J,2,0),"")</f>
      </c>
      <c r="F22" s="85">
        <f>IFERROR(VLOOKUP(TEXT(F1,"yyyymm")&amp;"股價淨值比",國內_淨值比!$E:$J,2,0),"")</f>
      </c>
      <c r="G22" s="85">
        <f>IFERROR(VLOOKUP(TEXT(G1,"yyyymm")&amp;"股價淨值比",國內_淨值比!$E:$J,2,0),"")</f>
      </c>
      <c r="H22" s="85">
        <f>IFERROR(VLOOKUP(TEXT(H1,"yyyymm")&amp;"股價淨值比",國內_淨值比!$E:$J,2,0),"")</f>
      </c>
      <c r="I22" s="85">
        <f>IFERROR(VLOOKUP(TEXT(I1,"yyyymm")&amp;"股價淨值比",國內_淨值比!$E:$J,2,0),"")</f>
      </c>
      <c r="J22" s="85">
        <f>IFERROR(VLOOKUP(TEXT(J1,"yyyymm")&amp;"股價淨值比",國內_淨值比!$E:$J,2,0),"")</f>
      </c>
      <c r="K22" s="85">
        <f>IFERROR(VLOOKUP(TEXT(K1,"yyyymm")&amp;"股價淨值比",國內_淨值比!$E:$J,2,0),"")</f>
      </c>
      <c r="L22" s="85">
        <f>IFERROR(VLOOKUP(TEXT(L1,"yyyymm")&amp;"股價淨值比",國內_淨值比!$E:$J,2,0),"")</f>
      </c>
      <c r="M22" s="85">
        <f>IFERROR(VLOOKUP(TEXT(M1,"yyyymm")&amp;"股價淨值比",國內_淨值比!$E:$J,2,0),"")</f>
      </c>
      <c r="N22" s="85">
        <f>IFERROR(VLOOKUP(TEXT(N1,"yyyymm")&amp;"股價淨值比",國內_淨值比!$E:$J,2,0),"")</f>
      </c>
      <c r="O22" s="85">
        <f>IFERROR(VLOOKUP(TEXT(O1,"yyyymm")&amp;"股價淨值比",國內_淨值比!$E:$J,2,0),"")</f>
      </c>
      <c r="P22" s="86">
        <f>IFERROR(VLOOKUP(TEXT(P1,"yyyymm")&amp;"股價淨值比",國內_淨值比!$E:$J,2,0),"")</f>
      </c>
      <c r="Q22" s="2"/>
      <c r="R22" s="2"/>
      <c r="S22" s="11"/>
      <c r="T22" s="90"/>
      <c r="U22" s="90"/>
      <c r="V22" s="2"/>
      <c r="W22" s="11"/>
    </row>
    <row x14ac:dyDescent="0.25" r="23" customHeight="1" ht="24">
      <c r="A23" s="2"/>
      <c r="B23" s="62" t="s">
        <v>570</v>
      </c>
      <c r="C23" s="63" t="s">
        <v>564</v>
      </c>
      <c r="D23" s="85">
        <f>IFERROR(VLOOKUP(TEXT(D1,"yyyymm")&amp;"股價淨值比",國內_淨值比!$E:$J,3,0),"")</f>
      </c>
      <c r="E23" s="85">
        <f>IFERROR(VLOOKUP(TEXT(E1,"yyyymm")&amp;"股價淨值比",國內_淨值比!$E:$J,3,0),"")</f>
      </c>
      <c r="F23" s="85">
        <f>IFERROR(VLOOKUP(TEXT(F1,"yyyymm")&amp;"股價淨值比",國內_淨值比!$E:$J,3,0),"")</f>
      </c>
      <c r="G23" s="85">
        <f>IFERROR(VLOOKUP(TEXT(G1,"yyyymm")&amp;"股價淨值比",國內_淨值比!$E:$J,3,0),"")</f>
      </c>
      <c r="H23" s="85">
        <f>IFERROR(VLOOKUP(TEXT(H1,"yyyymm")&amp;"股價淨值比",國內_淨值比!$E:$J,3,0),"")</f>
      </c>
      <c r="I23" s="85">
        <f>IFERROR(VLOOKUP(TEXT(I1,"yyyymm")&amp;"股價淨值比",國內_淨值比!$E:$J,3,0),"")</f>
      </c>
      <c r="J23" s="85">
        <f>IFERROR(VLOOKUP(TEXT(J1,"yyyymm")&amp;"股價淨值比",國內_淨值比!$E:$J,3,0),"")</f>
      </c>
      <c r="K23" s="85">
        <f>IFERROR(VLOOKUP(TEXT(K1,"yyyymm")&amp;"股價淨值比",國內_淨值比!$E:$J,3,0),"")</f>
      </c>
      <c r="L23" s="85">
        <f>IFERROR(VLOOKUP(TEXT(L1,"yyyymm")&amp;"股價淨值比",國內_淨值比!$E:$J,3,0),"")</f>
      </c>
      <c r="M23" s="85">
        <f>IFERROR(VLOOKUP(TEXT(M1,"yyyymm")&amp;"股價淨值比",國內_淨值比!$E:$J,3,0),"")</f>
      </c>
      <c r="N23" s="85">
        <f>IFERROR(VLOOKUP(TEXT(N1,"yyyymm")&amp;"股價淨值比",國內_淨值比!$E:$J,3,0),"")</f>
      </c>
      <c r="O23" s="85">
        <f>IFERROR(VLOOKUP(TEXT(O1,"yyyymm")&amp;"股價淨值比",國內_淨值比!$E:$J,3,0),"")</f>
      </c>
      <c r="P23" s="86">
        <f>IFERROR(VLOOKUP(TEXT(P1,"yyyymm")&amp;"股價淨值比",國內_淨值比!$E:$J,3,0),"")</f>
      </c>
      <c r="Q23" s="2"/>
      <c r="R23" s="2"/>
      <c r="S23" s="11"/>
      <c r="T23" s="90"/>
      <c r="U23" s="90"/>
      <c r="V23" s="2"/>
      <c r="W23" s="11"/>
    </row>
    <row x14ac:dyDescent="0.25" r="24" customHeight="1" ht="24">
      <c r="A24" s="2"/>
      <c r="B24" s="62" t="s">
        <v>571</v>
      </c>
      <c r="C24" s="63" t="s">
        <v>564</v>
      </c>
      <c r="D24" s="85">
        <f>IFERROR(VLOOKUP(TEXT(D1,"yyyymm")&amp;"股價淨值比",國內_淨值比!$E:$J,4,0),"")</f>
      </c>
      <c r="E24" s="85">
        <f>IFERROR(VLOOKUP(TEXT(E1,"yyyymm")&amp;"股價淨值比",國內_淨值比!$E:$J,4,0),"")</f>
      </c>
      <c r="F24" s="85">
        <f>IFERROR(VLOOKUP(TEXT(F1,"yyyymm")&amp;"股價淨值比",國內_淨值比!$E:$J,4,0),"")</f>
      </c>
      <c r="G24" s="85">
        <f>IFERROR(VLOOKUP(TEXT(G1,"yyyymm")&amp;"股價淨值比",國內_淨值比!$E:$J,4,0),"")</f>
      </c>
      <c r="H24" s="85">
        <f>IFERROR(VLOOKUP(TEXT(H1,"yyyymm")&amp;"股價淨值比",國內_淨值比!$E:$J,4,0),"")</f>
      </c>
      <c r="I24" s="85">
        <f>IFERROR(VLOOKUP(TEXT(I1,"yyyymm")&amp;"股價淨值比",國內_淨值比!$E:$J,4,0),"")</f>
      </c>
      <c r="J24" s="85">
        <f>IFERROR(VLOOKUP(TEXT(J1,"yyyymm")&amp;"股價淨值比",國內_淨值比!$E:$J,4,0),"")</f>
      </c>
      <c r="K24" s="85">
        <f>IFERROR(VLOOKUP(TEXT(K1,"yyyymm")&amp;"股價淨值比",國內_淨值比!$E:$J,4,0),"")</f>
      </c>
      <c r="L24" s="85">
        <f>IFERROR(VLOOKUP(TEXT(L1,"yyyymm")&amp;"股價淨值比",國內_淨值比!$E:$J,4,0),"")</f>
      </c>
      <c r="M24" s="85">
        <f>IFERROR(VLOOKUP(TEXT(M1,"yyyymm")&amp;"股價淨值比",國內_淨值比!$E:$J,4,0),"")</f>
      </c>
      <c r="N24" s="85">
        <f>IFERROR(VLOOKUP(TEXT(N1,"yyyymm")&amp;"股價淨值比",國內_淨值比!$E:$J,4,0),"")</f>
      </c>
      <c r="O24" s="85">
        <f>IFERROR(VLOOKUP(TEXT(O1,"yyyymm")&amp;"股價淨值比",國內_淨值比!$E:$J,4,0),"")</f>
      </c>
      <c r="P24" s="86">
        <f>IFERROR(VLOOKUP(TEXT(P1,"yyyymm")&amp;"股價淨值比",國內_淨值比!$E:$J,4,0),"")</f>
      </c>
      <c r="Q24" s="2"/>
      <c r="R24" s="2"/>
      <c r="S24" s="11"/>
      <c r="T24" s="90"/>
      <c r="U24" s="90"/>
      <c r="V24" s="2"/>
      <c r="W24" s="11"/>
    </row>
    <row x14ac:dyDescent="0.25" r="25" customHeight="1" ht="24">
      <c r="A25" s="2"/>
      <c r="B25" s="62" t="s">
        <v>572</v>
      </c>
      <c r="C25" s="63" t="s">
        <v>564</v>
      </c>
      <c r="D25" s="85">
        <f>IFERROR(VLOOKUP(TEXT(D1,"yyyymm")&amp;"股價淨值比",國內_淨值比!$E:$J,5,0),"")</f>
      </c>
      <c r="E25" s="85">
        <f>IFERROR(VLOOKUP(TEXT(E1,"yyyymm")&amp;"股價淨值比",國內_淨值比!$E:$J,5,0),"")</f>
      </c>
      <c r="F25" s="85">
        <f>IFERROR(VLOOKUP(TEXT(F1,"yyyymm")&amp;"股價淨值比",國內_淨值比!$E:$J,5,0),"")</f>
      </c>
      <c r="G25" s="85">
        <f>IFERROR(VLOOKUP(TEXT(G1,"yyyymm")&amp;"股價淨值比",國內_淨值比!$E:$J,5,0),"")</f>
      </c>
      <c r="H25" s="85">
        <f>IFERROR(VLOOKUP(TEXT(H1,"yyyymm")&amp;"股價淨值比",國內_淨值比!$E:$J,5,0),"")</f>
      </c>
      <c r="I25" s="85">
        <f>IFERROR(VLOOKUP(TEXT(I1,"yyyymm")&amp;"股價淨值比",國內_淨值比!$E:$J,5,0),"")</f>
      </c>
      <c r="J25" s="85">
        <f>IFERROR(VLOOKUP(TEXT(J1,"yyyymm")&amp;"股價淨值比",國內_淨值比!$E:$J,5,0),"")</f>
      </c>
      <c r="K25" s="85">
        <f>IFERROR(VLOOKUP(TEXT(K1,"yyyymm")&amp;"股價淨值比",國內_淨值比!$E:$J,5,0),"")</f>
      </c>
      <c r="L25" s="85">
        <f>IFERROR(VLOOKUP(TEXT(L1,"yyyymm")&amp;"股價淨值比",國內_淨值比!$E:$J,5,0),"")</f>
      </c>
      <c r="M25" s="85">
        <f>IFERROR(VLOOKUP(TEXT(M1,"yyyymm")&amp;"股價淨值比",國內_淨值比!$E:$J,5,0),"")</f>
      </c>
      <c r="N25" s="85">
        <f>IFERROR(VLOOKUP(TEXT(N1,"yyyymm")&amp;"股價淨值比",國內_淨值比!$E:$J,5,0),"")</f>
      </c>
      <c r="O25" s="85">
        <f>IFERROR(VLOOKUP(TEXT(O1,"yyyymm")&amp;"股價淨值比",國內_淨值比!$E:$J,5,0),"")</f>
      </c>
      <c r="P25" s="86">
        <f>IFERROR(VLOOKUP(TEXT(P1,"yyyymm")&amp;"股價淨值比",國內_淨值比!$E:$J,5,0),"")</f>
      </c>
      <c r="Q25" s="2"/>
      <c r="R25" s="2"/>
      <c r="S25" s="11"/>
      <c r="T25" s="90"/>
      <c r="U25" s="90"/>
      <c r="V25" s="2"/>
      <c r="W25" s="11"/>
    </row>
    <row x14ac:dyDescent="0.25" r="26" customHeight="1" ht="24">
      <c r="A26" s="2"/>
      <c r="B26" s="92" t="s">
        <v>573</v>
      </c>
      <c r="C26" s="93" t="s">
        <v>564</v>
      </c>
      <c r="D26" s="94">
        <f>IFERROR(VLOOKUP(TEXT(D1,"yyyymm")&amp;"股價淨值比",國內_淨值比!$E:$J,6,0),"")</f>
      </c>
      <c r="E26" s="94">
        <f>IFERROR(VLOOKUP(TEXT(E1,"yyyymm")&amp;"股價淨值比",國內_淨值比!$E:$J,6,0),"")</f>
      </c>
      <c r="F26" s="94">
        <f>IFERROR(VLOOKUP(TEXT(F1,"yyyymm")&amp;"股價淨值比",國內_淨值比!$E:$J,6,0),"")</f>
      </c>
      <c r="G26" s="94">
        <f>IFERROR(VLOOKUP(TEXT(G1,"yyyymm")&amp;"股價淨值比",國內_淨值比!$E:$J,6,0),"")</f>
      </c>
      <c r="H26" s="94">
        <f>IFERROR(VLOOKUP(TEXT(H1,"yyyymm")&amp;"股價淨值比",國內_淨值比!$E:$J,6,0),"")</f>
      </c>
      <c r="I26" s="94">
        <f>IFERROR(VLOOKUP(TEXT(I1,"yyyymm")&amp;"股價淨值比",國內_淨值比!$E:$J,6,0),"")</f>
      </c>
      <c r="J26" s="94">
        <f>IFERROR(VLOOKUP(TEXT(J1,"yyyymm")&amp;"股價淨值比",國內_淨值比!$E:$J,6,0),"")</f>
      </c>
      <c r="K26" s="94">
        <f>IFERROR(VLOOKUP(TEXT(K1,"yyyymm")&amp;"股價淨值比",國內_淨值比!$E:$J,6,0),"")</f>
      </c>
      <c r="L26" s="94">
        <f>IFERROR(VLOOKUP(TEXT(L1,"yyyymm")&amp;"股價淨值比",國內_淨值比!$E:$J,6,0),"")</f>
      </c>
      <c r="M26" s="94">
        <f>IFERROR(VLOOKUP(TEXT(M1,"yyyymm")&amp;"股價淨值比",國內_淨值比!$E:$J,6,0),"")</f>
      </c>
      <c r="N26" s="94">
        <f>IFERROR(VLOOKUP(TEXT(N1,"yyyymm")&amp;"股價淨值比",國內_淨值比!$E:$J,6,0),"")</f>
      </c>
      <c r="O26" s="94">
        <f>IFERROR(VLOOKUP(TEXT(O1,"yyyymm")&amp;"股價淨值比",國內_淨值比!$E:$J,6,0),"")</f>
      </c>
      <c r="P26" s="95">
        <f>IFERROR(VLOOKUP(TEXT(P1,"yyyymm")&amp;"股價淨值比",國內_淨值比!$E:$J,6,0),"")</f>
      </c>
      <c r="Q26" s="2"/>
      <c r="R26" s="2"/>
      <c r="S26" s="11"/>
      <c r="T26" s="90"/>
      <c r="U26" s="90"/>
      <c r="V26" s="2"/>
      <c r="W26" s="11"/>
    </row>
    <row x14ac:dyDescent="0.25" r="27" customHeight="1" ht="15">
      <c r="A27" s="96"/>
      <c r="B27" s="97"/>
      <c r="C27" s="98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2"/>
      <c r="R27" s="2"/>
      <c r="S27" s="11"/>
      <c r="T27" s="90"/>
      <c r="U27" s="90"/>
      <c r="V27" s="2"/>
      <c r="W27" s="11"/>
    </row>
    <row x14ac:dyDescent="0.25" r="28" customHeight="1" ht="24">
      <c r="A28" s="2"/>
      <c r="B28" s="100" t="s">
        <v>574</v>
      </c>
      <c r="C28" s="101" t="s">
        <v>548</v>
      </c>
      <c r="D28" s="102">
        <f>IFERROR(VLOOKUP(TEXT(D1,"yyyymm")&amp;"數值",全球GDP!$E:$I,5,0),"")</f>
      </c>
      <c r="E28" s="102">
        <f>IFERROR(VLOOKUP(TEXT($P$1,"YYYYMM")&amp;"數值",全球GDP!$E:$I,5,0),"")</f>
      </c>
      <c r="F28" s="102">
        <f>IFERROR(VLOOKUP(TEXT($P$1,"YYYYMM")&amp;"數值",全球GDP!$E:$I,5,0),"")</f>
      </c>
      <c r="G28" s="102">
        <f>IFERROR(VLOOKUP(TEXT($P$1,"YYYYMM")&amp;"數值",全球GDP!$E:$I,5,0),"")</f>
      </c>
      <c r="H28" s="102">
        <f>IFERROR(VLOOKUP(TEXT($P$1,"YYYYMM")&amp;"數值",全球GDP!$E:$I,5,0),"")</f>
      </c>
      <c r="I28" s="102">
        <f>IFERROR(VLOOKUP(TEXT($P$1,"YYYYMM")&amp;"數值",全球GDP!$E:$I,5,0),"")</f>
      </c>
      <c r="J28" s="102">
        <f>IFERROR(VLOOKUP(TEXT($P$1,"YYYYMM")&amp;"數值",全球GDP!$E:$I,5,0),"")</f>
      </c>
      <c r="K28" s="102">
        <f>IFERROR(VLOOKUP(TEXT($P$1,"YYYYMM")&amp;"數值",全球GDP!$E:$I,5,0),"")</f>
      </c>
      <c r="L28" s="102">
        <f>IFERROR(VLOOKUP(TEXT($P$1,"YYYYMM")&amp;"數值",全球GDP!$E:$I,5,0),"")</f>
      </c>
      <c r="M28" s="102">
        <f>IFERROR(VLOOKUP(TEXT($P$1,"YYYYMM")&amp;"數值",全球GDP!$E:$I,5,0),"")</f>
      </c>
      <c r="N28" s="102">
        <f>IFERROR(VLOOKUP(TEXT($P$1,"YYYYMM")&amp;"數值",全球GDP!$E:$I,5,0),"")</f>
      </c>
      <c r="O28" s="102">
        <f>IFERROR(VLOOKUP(TEXT($P$1,"YYYYMM")&amp;"數值",全球GDP!$E:$I,5,0),"")</f>
      </c>
      <c r="P28" s="103">
        <f>IFERROR(VLOOKUP(TEXT($P$1,"YYYYMM")&amp;"數值",全球GDP!$E:$I,5,0),"")</f>
      </c>
      <c r="Q28" s="2"/>
      <c r="R28" s="2"/>
      <c r="S28" s="11"/>
      <c r="T28" s="90"/>
      <c r="U28" s="90"/>
      <c r="V28" s="2"/>
      <c r="W28" s="11"/>
    </row>
    <row x14ac:dyDescent="0.25" r="29" customHeight="1" ht="24">
      <c r="A29" s="2"/>
      <c r="B29" s="62" t="s">
        <v>575</v>
      </c>
      <c r="C29" s="104" t="s">
        <v>527</v>
      </c>
      <c r="D29" s="64"/>
      <c r="E29" s="65" t="s">
        <v>528</v>
      </c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6"/>
      <c r="Q29" s="2"/>
      <c r="R29" s="2"/>
      <c r="S29" s="11"/>
      <c r="T29" s="90"/>
      <c r="U29" s="90"/>
      <c r="V29" s="2"/>
      <c r="W29" s="11"/>
    </row>
    <row x14ac:dyDescent="0.25" r="30" customHeight="1" ht="24">
      <c r="A30" s="2"/>
      <c r="B30" s="62" t="s">
        <v>534</v>
      </c>
      <c r="C30" s="104" t="s">
        <v>527</v>
      </c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6"/>
      <c r="Q30" s="2"/>
      <c r="R30" s="2"/>
      <c r="S30" s="11"/>
      <c r="T30" s="90"/>
      <c r="U30" s="90"/>
      <c r="V30" s="2"/>
      <c r="W30" s="11"/>
    </row>
    <row x14ac:dyDescent="0.25" r="31" customHeight="1" ht="24">
      <c r="A31" s="2"/>
      <c r="B31" s="62" t="s">
        <v>576</v>
      </c>
      <c r="C31" s="104" t="s">
        <v>537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7"/>
      <c r="Q31" s="2"/>
      <c r="R31" s="2"/>
      <c r="S31" s="11"/>
      <c r="T31" s="90"/>
      <c r="U31" s="90"/>
      <c r="V31" s="2"/>
      <c r="W31" s="11"/>
    </row>
    <row x14ac:dyDescent="0.25" r="32" customHeight="1" ht="24">
      <c r="A32" s="2"/>
      <c r="B32" s="62" t="s">
        <v>577</v>
      </c>
      <c r="C32" s="104" t="s">
        <v>527</v>
      </c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6"/>
      <c r="Q32" s="2"/>
      <c r="R32" s="2"/>
      <c r="S32" s="11"/>
      <c r="T32" s="90"/>
      <c r="U32" s="90"/>
      <c r="V32" s="2"/>
      <c r="W32" s="11"/>
    </row>
    <row x14ac:dyDescent="0.25" r="33" customHeight="1" ht="24">
      <c r="A33" s="2"/>
      <c r="B33" s="62" t="s">
        <v>578</v>
      </c>
      <c r="C33" s="104" t="s">
        <v>579</v>
      </c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6"/>
      <c r="Q33" s="2"/>
      <c r="R33" s="2"/>
      <c r="S33" s="11"/>
      <c r="T33" s="90"/>
      <c r="U33" s="90"/>
      <c r="V33" s="2"/>
      <c r="W33" s="11"/>
    </row>
    <row x14ac:dyDescent="0.25" r="34" customHeight="1" ht="24">
      <c r="A34" s="2"/>
      <c r="B34" s="62" t="s">
        <v>580</v>
      </c>
      <c r="C34" s="104" t="s">
        <v>548</v>
      </c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6"/>
      <c r="Q34" s="2"/>
      <c r="R34" s="2"/>
      <c r="S34" s="11"/>
      <c r="T34" s="90"/>
      <c r="U34" s="90"/>
      <c r="V34" s="2"/>
      <c r="W34" s="11"/>
    </row>
    <row x14ac:dyDescent="0.25" r="35" customHeight="1" ht="24">
      <c r="A35" s="2"/>
      <c r="B35" s="62" t="s">
        <v>581</v>
      </c>
      <c r="C35" s="104" t="s">
        <v>527</v>
      </c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6"/>
      <c r="Q35" s="2"/>
      <c r="R35" s="2"/>
      <c r="S35" s="11"/>
      <c r="T35" s="90"/>
      <c r="U35" s="90"/>
      <c r="V35" s="2"/>
      <c r="W35" s="11"/>
    </row>
    <row x14ac:dyDescent="0.25" r="36" customHeight="1" ht="24">
      <c r="A36" s="2"/>
      <c r="B36" s="62" t="s">
        <v>582</v>
      </c>
      <c r="C36" s="104" t="s">
        <v>583</v>
      </c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6"/>
      <c r="Q36" s="2"/>
      <c r="R36" s="2"/>
      <c r="S36" s="11"/>
      <c r="T36" s="90"/>
      <c r="U36" s="90"/>
      <c r="V36" s="2"/>
      <c r="W36" s="11"/>
    </row>
    <row x14ac:dyDescent="0.25" r="37" customHeight="1" ht="24">
      <c r="A37" s="2"/>
      <c r="B37" s="62" t="s">
        <v>584</v>
      </c>
      <c r="C37" s="104" t="s">
        <v>527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6"/>
      <c r="Q37" s="2"/>
      <c r="R37" s="2"/>
      <c r="S37" s="11"/>
      <c r="T37" s="90"/>
      <c r="U37" s="90"/>
      <c r="V37" s="2"/>
      <c r="W37" s="11"/>
    </row>
    <row x14ac:dyDescent="0.25" r="38" customHeight="1" ht="24">
      <c r="A38" s="2"/>
      <c r="B38" s="62" t="s">
        <v>585</v>
      </c>
      <c r="C38" s="104" t="s">
        <v>527</v>
      </c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6"/>
      <c r="Q38" s="2"/>
      <c r="R38" s="2"/>
      <c r="S38" s="11"/>
      <c r="T38" s="90"/>
      <c r="U38" s="90"/>
      <c r="V38" s="2"/>
      <c r="W38" s="11"/>
    </row>
    <row x14ac:dyDescent="0.25" r="39" customHeight="1" ht="24">
      <c r="A39" s="2"/>
      <c r="B39" s="62" t="s">
        <v>534</v>
      </c>
      <c r="C39" s="104" t="s">
        <v>527</v>
      </c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6"/>
      <c r="Q39" s="2"/>
      <c r="R39" s="2"/>
      <c r="S39" s="11"/>
      <c r="T39" s="90"/>
      <c r="U39" s="90"/>
      <c r="V39" s="2"/>
      <c r="W39" s="11"/>
    </row>
    <row x14ac:dyDescent="0.25" r="40" customHeight="1" ht="24">
      <c r="A40" s="2"/>
      <c r="B40" s="62" t="s">
        <v>586</v>
      </c>
      <c r="C40" s="104" t="s">
        <v>527</v>
      </c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6"/>
      <c r="Q40" s="2"/>
      <c r="R40" s="2"/>
      <c r="S40" s="11"/>
      <c r="T40" s="90"/>
      <c r="U40" s="90"/>
      <c r="V40" s="2"/>
      <c r="W40" s="11"/>
    </row>
    <row x14ac:dyDescent="0.25" r="41" customHeight="1" ht="24">
      <c r="A41" s="2"/>
      <c r="B41" s="62" t="s">
        <v>587</v>
      </c>
      <c r="C41" s="104" t="s">
        <v>527</v>
      </c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6"/>
      <c r="Q41" s="2"/>
      <c r="R41" s="2"/>
      <c r="S41" s="11"/>
      <c r="T41" s="90"/>
      <c r="U41" s="90"/>
      <c r="V41" s="2"/>
      <c r="W41" s="11"/>
    </row>
    <row x14ac:dyDescent="0.25" r="42" customHeight="1" ht="24">
      <c r="A42" s="2"/>
      <c r="B42" s="62" t="s">
        <v>588</v>
      </c>
      <c r="C42" s="104" t="s">
        <v>527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7"/>
      <c r="Q42" s="2"/>
      <c r="R42" s="2"/>
      <c r="S42" s="11"/>
      <c r="T42" s="90"/>
      <c r="U42" s="90"/>
      <c r="V42" s="2"/>
      <c r="W42" s="11"/>
    </row>
    <row x14ac:dyDescent="0.25" r="43" customHeight="1" ht="24">
      <c r="A43" s="2"/>
      <c r="B43" s="62" t="s">
        <v>589</v>
      </c>
      <c r="C43" s="104" t="s">
        <v>527</v>
      </c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6"/>
      <c r="Q43" s="2"/>
      <c r="R43" s="2"/>
      <c r="S43" s="11"/>
      <c r="T43" s="90"/>
      <c r="U43" s="90"/>
      <c r="V43" s="2"/>
      <c r="W43" s="11"/>
    </row>
    <row x14ac:dyDescent="0.25" r="44" customHeight="1" ht="24">
      <c r="A44" s="2"/>
      <c r="B44" s="62" t="s">
        <v>590</v>
      </c>
      <c r="C44" s="104" t="s">
        <v>591</v>
      </c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6"/>
      <c r="Q44" s="2"/>
      <c r="R44" s="2"/>
      <c r="S44" s="11"/>
      <c r="T44" s="90"/>
      <c r="U44" s="90"/>
      <c r="V44" s="2"/>
      <c r="W44" s="11"/>
    </row>
    <row x14ac:dyDescent="0.25" r="45" customHeight="1" ht="24">
      <c r="A45" s="2"/>
      <c r="B45" s="62" t="s">
        <v>592</v>
      </c>
      <c r="C45" s="104" t="s">
        <v>527</v>
      </c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6"/>
      <c r="Q45" s="2"/>
      <c r="R45" s="2"/>
      <c r="S45" s="11"/>
      <c r="T45" s="90"/>
      <c r="U45" s="90"/>
      <c r="V45" s="2"/>
      <c r="W45" s="11"/>
    </row>
    <row x14ac:dyDescent="0.25" r="46" customHeight="1" ht="24">
      <c r="A46" s="2"/>
      <c r="B46" s="62" t="s">
        <v>593</v>
      </c>
      <c r="C46" s="104" t="s">
        <v>527</v>
      </c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6"/>
      <c r="Q46" s="2"/>
      <c r="R46" s="2"/>
      <c r="S46" s="11"/>
      <c r="T46" s="90"/>
      <c r="U46" s="90"/>
      <c r="V46" s="2"/>
      <c r="W46" s="11"/>
    </row>
    <row x14ac:dyDescent="0.25" r="47" customHeight="1" ht="24">
      <c r="A47" s="2"/>
      <c r="B47" s="62" t="s">
        <v>594</v>
      </c>
      <c r="C47" s="104" t="s">
        <v>527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6"/>
      <c r="Q47" s="2"/>
      <c r="R47" s="2"/>
      <c r="S47" s="11"/>
      <c r="T47" s="90"/>
      <c r="U47" s="90"/>
      <c r="V47" s="2"/>
      <c r="W47" s="11"/>
    </row>
    <row x14ac:dyDescent="0.25" r="48" customHeight="1" ht="24">
      <c r="A48" s="2"/>
      <c r="B48" s="62" t="s">
        <v>534</v>
      </c>
      <c r="C48" s="104" t="s">
        <v>527</v>
      </c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6"/>
      <c r="Q48" s="2"/>
      <c r="R48" s="2"/>
      <c r="S48" s="11"/>
      <c r="T48" s="90"/>
      <c r="U48" s="90"/>
      <c r="V48" s="2"/>
      <c r="W48" s="11"/>
    </row>
    <row x14ac:dyDescent="0.25" r="49" customHeight="1" ht="24">
      <c r="A49" s="2"/>
      <c r="B49" s="62" t="s">
        <v>595</v>
      </c>
      <c r="C49" s="104" t="s">
        <v>596</v>
      </c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6"/>
      <c r="Q49" s="2"/>
      <c r="R49" s="2"/>
      <c r="S49" s="11"/>
      <c r="T49" s="90"/>
      <c r="U49" s="90"/>
      <c r="V49" s="2"/>
      <c r="W49" s="11"/>
    </row>
    <row x14ac:dyDescent="0.25" r="50" customHeight="1" ht="24">
      <c r="A50" s="2"/>
      <c r="B50" s="62" t="s">
        <v>597</v>
      </c>
      <c r="C50" s="104" t="s">
        <v>542</v>
      </c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6"/>
      <c r="Q50" s="2"/>
      <c r="R50" s="2"/>
      <c r="S50" s="11"/>
      <c r="T50" s="90"/>
      <c r="U50" s="90"/>
      <c r="V50" s="2"/>
      <c r="W50" s="11"/>
    </row>
    <row x14ac:dyDescent="0.25" r="51" customHeight="1" ht="24">
      <c r="A51" s="2"/>
      <c r="B51" s="62" t="s">
        <v>598</v>
      </c>
      <c r="C51" s="104" t="s">
        <v>599</v>
      </c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6"/>
      <c r="Q51" s="2"/>
      <c r="R51" s="2"/>
      <c r="S51" s="11"/>
      <c r="T51" s="90"/>
      <c r="U51" s="90"/>
      <c r="V51" s="2"/>
      <c r="W51" s="11"/>
    </row>
    <row x14ac:dyDescent="0.25" r="52" customHeight="1" ht="24">
      <c r="A52" s="2"/>
      <c r="B52" s="62" t="s">
        <v>600</v>
      </c>
      <c r="C52" s="104" t="s">
        <v>548</v>
      </c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6"/>
      <c r="Q52" s="2"/>
      <c r="R52" s="2"/>
      <c r="S52" s="11"/>
      <c r="T52" s="90"/>
      <c r="U52" s="90"/>
      <c r="V52" s="2"/>
      <c r="W52" s="11"/>
    </row>
    <row x14ac:dyDescent="0.25" r="53" customHeight="1" ht="24">
      <c r="A53" s="2"/>
      <c r="B53" s="62" t="s">
        <v>601</v>
      </c>
      <c r="C53" s="104" t="s">
        <v>527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6"/>
      <c r="Q53" s="2"/>
      <c r="R53" s="2"/>
      <c r="S53" s="11"/>
      <c r="T53" s="90"/>
      <c r="U53" s="90"/>
      <c r="V53" s="2"/>
      <c r="W53" s="11"/>
    </row>
    <row x14ac:dyDescent="0.25" r="54" customHeight="1" ht="24">
      <c r="A54" s="2"/>
      <c r="B54" s="62" t="s">
        <v>602</v>
      </c>
      <c r="C54" s="104" t="s">
        <v>527</v>
      </c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6"/>
      <c r="Q54" s="2"/>
      <c r="R54" s="2"/>
      <c r="S54" s="11"/>
      <c r="T54" s="90"/>
      <c r="U54" s="90"/>
      <c r="V54" s="2"/>
      <c r="W54" s="11"/>
    </row>
    <row x14ac:dyDescent="0.25" r="55" customHeight="1" ht="24">
      <c r="A55" s="2"/>
      <c r="B55" s="62" t="s">
        <v>603</v>
      </c>
      <c r="C55" s="104" t="s">
        <v>599</v>
      </c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6"/>
      <c r="Q55" s="2"/>
      <c r="R55" s="2"/>
      <c r="S55" s="11"/>
      <c r="T55" s="90"/>
      <c r="U55" s="90"/>
      <c r="V55" s="2"/>
      <c r="W55" s="11"/>
    </row>
    <row x14ac:dyDescent="0.25" r="56" customHeight="1" ht="24">
      <c r="A56" s="2"/>
      <c r="B56" s="62" t="s">
        <v>604</v>
      </c>
      <c r="C56" s="105"/>
      <c r="D56" s="85">
        <f>IFERROR(VLOOKUP(TEXT(IF(WEEKDAY(D1,2)=7,D1-2,IF(WEEKDAY(D1,2)=6,D1-1,D1)),"YYYYMMDD")&amp;"各代號最新一期乖離率(60)",國外指數乖離率!$E:$H,2,0),"")</f>
      </c>
      <c r="E56" s="85">
        <f>IFERROR(VLOOKUP(TEXT(IF(WEEKDAY(E1,2)=7,E1-2,IF(WEEKDAY(E1,2)=6,E1-1,E1)),"YYYYMMDD")&amp;"各代號最新一期乖離率(60)",國外指數乖離率!$E:$H,2,0),"")</f>
      </c>
      <c r="F56" s="85">
        <f>IFERROR(VLOOKUP(TEXT(IF(WEEKDAY(F1,2)=7,F1-2,IF(WEEKDAY(F1,2)=6,F1-1,F1)),"YYYYMMDD")&amp;"各代號最新一期乖離率(60)",國外指數乖離率!$E:$H,2,0),"")</f>
      </c>
      <c r="G56" s="85">
        <f>IFERROR(VLOOKUP(TEXT(IF(WEEKDAY(G1,2)=7,G1-2,IF(WEEKDAY(G1,2)=6,G1-1,G1)),"YYYYMMDD")&amp;"各代號最新一期乖離率(60)",國外指數乖離率!$E:$H,2,0),"")</f>
      </c>
      <c r="H56" s="85">
        <f>IFERROR(VLOOKUP(TEXT(IF(WEEKDAY(H1,2)=7,H1-2,IF(WEEKDAY(H1,2)=6,H1-1,H1)),"YYYYMMDD")&amp;"各代號最新一期乖離率(60)",國外指數乖離率!$E:$H,2,0),"")</f>
      </c>
      <c r="I56" s="85">
        <f>IFERROR(VLOOKUP(TEXT(IF(WEEKDAY(I1,2)=7,I1-2,IF(WEEKDAY(I1,2)=6,I1-1,I1)),"YYYYMMDD")&amp;"各代號最新一期乖離率(60)",國外指數乖離率!$E:$H,2,0),"")</f>
      </c>
      <c r="J56" s="85">
        <f>IFERROR(VLOOKUP(TEXT(IF(WEEKDAY(J1,2)=7,J1-2,IF(WEEKDAY(J1,2)=6,J1-1,J1)),"YYYYMMDD")&amp;"各代號最新一期乖離率(60)",國外指數乖離率!$E:$H,2,0),"")</f>
      </c>
      <c r="K56" s="85">
        <f>IFERROR(VLOOKUP(TEXT(IF(WEEKDAY(K1,2)=7,K1-2,IF(WEEKDAY(K1,2)=6,K1-1,K1)),"YYYYMMDD")&amp;"各代號最新一期乖離率(60)",國外指數乖離率!$E:$H,2,0),"")</f>
      </c>
      <c r="L56" s="85">
        <f>IFERROR(VLOOKUP(TEXT(IF(WEEKDAY(L1,2)=7,L1-2,IF(WEEKDAY(L1,2)=6,L1-1,L1)),"YYYYMMDD")&amp;"各代號最新一期乖離率(60)",國外指數乖離率!$E:$H,2,0),"")</f>
      </c>
      <c r="M56" s="85">
        <f>IFERROR(VLOOKUP(TEXT(IF(WEEKDAY(M1,2)=7,M1-2,IF(WEEKDAY(M1,2)=6,M1-1,M1)),"YYYYMMDD")&amp;"各代號最新一期乖離率(60)",國外指數乖離率!$E:$H,2,0),"")</f>
      </c>
      <c r="N56" s="85">
        <f>IFERROR(VLOOKUP(TEXT(IF(WEEKDAY(N1,2)=7,N1-2,IF(WEEKDAY(N1,2)=6,N1-1,N1)),"YYYYMMDD")&amp;"各代號最新一期乖離率(60)",國外指數乖離率!$E:$H,2,0),"")</f>
      </c>
      <c r="O56" s="85">
        <f>IFERROR(VLOOKUP(TEXT(IF(WEEKDAY(O1,2)=7,O1-2,IF(WEEKDAY(O1,2)=6,O1-1,O1)),"YYYYMMDD")&amp;"各代號最新一期乖離率(60)",國外指數乖離率!$E:$H,2,0),"")</f>
      </c>
      <c r="P56" s="86">
        <f>IFERROR(VLOOKUP(TEXT(IF(WEEKDAY(P1,2)=7,P1-2,IF(WEEKDAY(P1,2)=6,P1-1,P1)),"YYYYMMDD")&amp;"各代號最新一期乖離率(60)",國外指數乖離率!$E:$H,2,0),"")</f>
      </c>
      <c r="Q56" s="2"/>
      <c r="R56" s="2"/>
      <c r="S56" s="11"/>
      <c r="T56" s="90"/>
      <c r="U56" s="90"/>
      <c r="V56" s="2"/>
      <c r="W56" s="11"/>
    </row>
    <row x14ac:dyDescent="0.25" r="57" customHeight="1" ht="24">
      <c r="A57" s="2"/>
      <c r="B57" s="62" t="s">
        <v>605</v>
      </c>
      <c r="C57" s="105"/>
      <c r="D57" s="85">
        <f>IFERROR(VLOOKUP(TEXT(IF(WEEKDAY(D1,2)=7,D1-2,IF(WEEKDAY(D1,2)=6,D1-1,D1)),"YYYYMMDD")&amp;"各代號最新一期乖離率(60)",國外指數乖離率!$E:$H,3,0),"")</f>
      </c>
      <c r="E57" s="85">
        <f>IFERROR(VLOOKUP(TEXT(IF(WEEKDAY(E1,2)=7,E1-2,IF(WEEKDAY(E1,2)=6,E1-1,E1)),"YYYYMMDD")&amp;"各代號最新一期乖離率(60)",國外指數乖離率!$E:$H,3,0),"")</f>
      </c>
      <c r="F57" s="85">
        <f>IFERROR(VLOOKUP(TEXT(IF(WEEKDAY(F1,2)=7,F1-2,IF(WEEKDAY(F1,2)=6,F1-1,F1)),"YYYYMMDD")&amp;"各代號最新一期乖離率(60)",國外指數乖離率!$E:$H,3,0),"")</f>
      </c>
      <c r="G57" s="85">
        <f>IFERROR(VLOOKUP(TEXT(IF(WEEKDAY(G1,2)=7,G1-2,IF(WEEKDAY(G1,2)=6,G1-1,G1)),"YYYYMMDD")&amp;"各代號最新一期乖離率(60)",國外指數乖離率!$E:$H,3,0),"")</f>
      </c>
      <c r="H57" s="85">
        <f>IFERROR(VLOOKUP(TEXT(IF(WEEKDAY(H1,2)=7,H1-2,IF(WEEKDAY(H1,2)=6,H1-1,H1)),"YYYYMMDD")&amp;"各代號最新一期乖離率(60)",國外指數乖離率!$E:$H,3,0),"")</f>
      </c>
      <c r="I57" s="85">
        <f>IFERROR(VLOOKUP(TEXT(IF(WEEKDAY(I1,2)=7,I1-2,IF(WEEKDAY(I1,2)=6,I1-1,I1)),"YYYYMMDD")&amp;"各代號最新一期乖離率(60)",國外指數乖離率!$E:$H,3,0),"")</f>
      </c>
      <c r="J57" s="85">
        <f>IFERROR(VLOOKUP(TEXT(IF(WEEKDAY(J1,2)=7,J1-2,IF(WEEKDAY(J1,2)=6,J1-1,J1)),"YYYYMMDD")&amp;"各代號最新一期乖離率(60)",國外指數乖離率!$E:$H,3,0),"")</f>
      </c>
      <c r="K57" s="85">
        <f>IFERROR(VLOOKUP(TEXT(IF(WEEKDAY(K1,2)=7,K1-2,IF(WEEKDAY(K1,2)=6,K1-1,K1)),"YYYYMMDD")&amp;"各代號最新一期乖離率(60)",國外指數乖離率!$E:$H,3,0),"")</f>
      </c>
      <c r="L57" s="85">
        <f>IFERROR(VLOOKUP(TEXT(IF(WEEKDAY(L1,2)=7,L1-2,IF(WEEKDAY(L1,2)=6,L1-1,L1)),"YYYYMMDD")&amp;"各代號最新一期乖離率(60)",國外指數乖離率!$E:$H,3,0),"")</f>
      </c>
      <c r="M57" s="85">
        <f>IFERROR(VLOOKUP(TEXT(IF(WEEKDAY(M1,2)=7,M1-2,IF(WEEKDAY(M1,2)=6,M1-1,M1)),"YYYYMMDD")&amp;"各代號最新一期乖離率(60)",國外指數乖離率!$E:$H,3,0),"")</f>
      </c>
      <c r="N57" s="85">
        <f>IFERROR(VLOOKUP(TEXT(IF(WEEKDAY(N1,2)=7,N1-2,IF(WEEKDAY(N1,2)=6,N1-1,N1)),"YYYYMMDD")&amp;"各代號最新一期乖離率(60)",國外指數乖離率!$E:$H,3,0),"")</f>
      </c>
      <c r="O57" s="85">
        <f>IFERROR(VLOOKUP(TEXT(IF(WEEKDAY(O1,2)=7,O1-2,IF(WEEKDAY(O1,2)=6,O1-1,O1)),"YYYYMMDD")&amp;"各代號最新一期乖離率(60)",國外指數乖離率!$E:$H,3,0),"")</f>
      </c>
      <c r="P57" s="86">
        <f>IFERROR(VLOOKUP(TEXT(IF(WEEKDAY(P1,2)=7,P1-2,IF(WEEKDAY(P1,2)=6,P1-1,P1)),"YYYYMMDD")&amp;"各代號最新一期乖離率(60)",國外指數乖離率!$E:$H,3,0),"")</f>
      </c>
      <c r="Q57" s="2"/>
      <c r="R57" s="2"/>
      <c r="S57" s="11"/>
      <c r="T57" s="90"/>
      <c r="U57" s="90"/>
      <c r="V57" s="2"/>
      <c r="W57" s="11"/>
    </row>
    <row x14ac:dyDescent="0.25" r="58" customHeight="1" ht="24">
      <c r="A58" s="2"/>
      <c r="B58" s="62" t="s">
        <v>606</v>
      </c>
      <c r="C58" s="105"/>
      <c r="D58" s="85">
        <f>IFERROR(VLOOKUP(TEXT(IF(WEEKDAY(D1,2)=7,D1-2,IF(WEEKDAY(D1,2)=6,D1-1,D1)),"YYYYMMDD")&amp;"各代號最新一期乖離率(60)",國外指數乖離率!$E:$H,4,0),"")</f>
      </c>
      <c r="E58" s="85">
        <f>IFERROR(VLOOKUP(TEXT(IF(WEEKDAY(E1,2)=7,E1-2,IF(WEEKDAY(E1,2)=6,E1-1,E1)),"YYYYMMDD")&amp;"各代號最新一期乖離率(60)",國外指數乖離率!$E:$H,4,0),"")</f>
      </c>
      <c r="F58" s="85">
        <f>IFERROR(VLOOKUP(TEXT(IF(WEEKDAY(F1,2)=7,F1-2,IF(WEEKDAY(F1,2)=6,F1-1,F1)),"YYYYMMDD")&amp;"各代號最新一期乖離率(60)",國外指數乖離率!$E:$H,4,0),"")</f>
      </c>
      <c r="G58" s="85">
        <f>IFERROR(VLOOKUP(TEXT(IF(WEEKDAY(G1,2)=7,G1-2,IF(WEEKDAY(G1,2)=6,G1-1,G1)),"YYYYMMDD")&amp;"各代號最新一期乖離率(60)",國外指數乖離率!$E:$H,4,0),"")</f>
      </c>
      <c r="H58" s="85">
        <f>IFERROR(VLOOKUP(TEXT(IF(WEEKDAY(H1,2)=7,H1-2,IF(WEEKDAY(H1,2)=6,H1-1,H1)),"YYYYMMDD")&amp;"各代號最新一期乖離率(60)",國外指數乖離率!$E:$H,4,0),"")</f>
      </c>
      <c r="I58" s="85">
        <f>IFERROR(VLOOKUP(TEXT(IF(WEEKDAY(I1,2)=7,I1-2,IF(WEEKDAY(I1,2)=6,I1-1,I1)),"YYYYMMDD")&amp;"各代號最新一期乖離率(60)",國外指數乖離率!$E:$H,4,0),"")</f>
      </c>
      <c r="J58" s="85">
        <f>IFERROR(VLOOKUP(TEXT(IF(WEEKDAY(J1,2)=7,J1-2,IF(WEEKDAY(J1,2)=6,J1-1,J1)),"YYYYMMDD")&amp;"各代號最新一期乖離率(60)",國外指數乖離率!$E:$H,4,0),"")</f>
      </c>
      <c r="K58" s="85">
        <f>IFERROR(VLOOKUP(TEXT(IF(WEEKDAY(K1,2)=7,K1-2,IF(WEEKDAY(K1,2)=6,K1-1,K1)),"YYYYMMDD")&amp;"各代號最新一期乖離率(60)",國外指數乖離率!$E:$H,4,0),"")</f>
      </c>
      <c r="L58" s="85">
        <f>IFERROR(VLOOKUP(TEXT(IF(WEEKDAY(L1,2)=7,L1-2,IF(WEEKDAY(L1,2)=6,L1-1,L1)),"YYYYMMDD")&amp;"各代號最新一期乖離率(60)",國外指數乖離率!$E:$H,4,0),"")</f>
      </c>
      <c r="M58" s="85">
        <f>IFERROR(VLOOKUP(TEXT(IF(WEEKDAY(M1,2)=7,M1-2,IF(WEEKDAY(M1,2)=6,M1-1,M1)),"YYYYMMDD")&amp;"各代號最新一期乖離率(60)",國外指數乖離率!$E:$H,4,0),"")</f>
      </c>
      <c r="N58" s="85">
        <f>IFERROR(VLOOKUP(TEXT(IF(WEEKDAY(N1,2)=7,N1-2,IF(WEEKDAY(N1,2)=6,N1-1,N1)),"YYYYMMDD")&amp;"各代號最新一期乖離率(60)",國外指數乖離率!$E:$H,4,0),"")</f>
      </c>
      <c r="O58" s="85">
        <f>IFERROR(VLOOKUP(TEXT(IF(WEEKDAY(O1,2)=7,O1-2,IF(WEEKDAY(O1,2)=6,O1-1,O1)),"YYYYMMDD")&amp;"各代號最新一期乖離率(60)",國外指數乖離率!$E:$H,4,0),"")</f>
      </c>
      <c r="P58" s="86">
        <f>IFERROR(VLOOKUP(TEXT(IF(WEEKDAY(P1,2)=7,P1-2,IF(WEEKDAY(P1,2)=6,P1-1,P1)),"YYYYMMDD")&amp;"各代號最新一期乖離率(60)",國外指數乖離率!$E:$H,4,0),"")</f>
      </c>
      <c r="Q58" s="2"/>
      <c r="R58" s="2"/>
      <c r="S58" s="11"/>
      <c r="T58" s="90"/>
      <c r="U58" s="90"/>
      <c r="V58" s="2"/>
      <c r="W58" s="11"/>
    </row>
    <row x14ac:dyDescent="0.25" r="59" customHeight="1" ht="24">
      <c r="A59" s="2"/>
      <c r="B59" s="62" t="s">
        <v>607</v>
      </c>
      <c r="C59" s="105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6"/>
      <c r="Q59" s="2"/>
      <c r="R59" s="2"/>
      <c r="S59" s="11"/>
      <c r="T59" s="90"/>
      <c r="U59" s="90"/>
      <c r="V59" s="2"/>
      <c r="W59" s="11"/>
    </row>
    <row x14ac:dyDescent="0.25" r="60" customHeight="1" ht="24">
      <c r="A60" s="2"/>
      <c r="B60" s="62" t="s">
        <v>608</v>
      </c>
      <c r="C60" s="105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6"/>
      <c r="Q60" s="2"/>
      <c r="R60" s="2"/>
      <c r="S60" s="11"/>
      <c r="T60" s="90"/>
      <c r="U60" s="90"/>
      <c r="V60" s="2"/>
      <c r="W60" s="11"/>
    </row>
    <row x14ac:dyDescent="0.25" r="61" customHeight="1" ht="24">
      <c r="A61" s="2"/>
      <c r="B61" s="92" t="s">
        <v>609</v>
      </c>
      <c r="C61" s="106"/>
      <c r="D61" s="94">
        <f>IFERROR(VLOOKUP(TEXT(D1,"yyyymm")&amp;"數值",國外_本益比!$E:$I,5,0),"")</f>
      </c>
      <c r="E61" s="94">
        <f>IFERROR(VLOOKUP(TEXT(E1,"yyyymm")&amp;"數值",國外_本益比!$E:$I,5,0),"")</f>
      </c>
      <c r="F61" s="94">
        <f>IFERROR(VLOOKUP(TEXT(F1,"yyyymm")&amp;"數值",國外_本益比!$E:$I,5,0),"")</f>
      </c>
      <c r="G61" s="94">
        <f>IFERROR(VLOOKUP(TEXT(G1,"yyyymm")&amp;"數值",國外_本益比!$E:$I,5,0),"")</f>
      </c>
      <c r="H61" s="94">
        <f>IFERROR(VLOOKUP(TEXT(H1,"yyyymm")&amp;"數值",國外_本益比!$E:$I,5,0),"")</f>
      </c>
      <c r="I61" s="94">
        <f>IFERROR(VLOOKUP(TEXT(I1,"yyyymm")&amp;"數值",國外_本益比!$E:$I,5,0),"")</f>
      </c>
      <c r="J61" s="94">
        <f>IFERROR(VLOOKUP(TEXT(J1,"yyyymm")&amp;"數值",國外_本益比!$E:$I,5,0),"")</f>
      </c>
      <c r="K61" s="94">
        <f>IFERROR(VLOOKUP(TEXT(K1,"yyyymm")&amp;"數值",國外_本益比!$E:$I,5,0),"")</f>
      </c>
      <c r="L61" s="94">
        <f>IFERROR(VLOOKUP(TEXT(L1,"yyyymm")&amp;"數值",國外_本益比!$E:$I,5,0),"")</f>
      </c>
      <c r="M61" s="94">
        <f>IFERROR(VLOOKUP(TEXT(M1,"yyyymm")&amp;"數值",國外_本益比!$E:$I,5,0),"")</f>
      </c>
      <c r="N61" s="94">
        <f>IFERROR(VLOOKUP(TEXT(N1,"yyyymm")&amp;"數值",國外_本益比!$E:$I,5,0),"")</f>
      </c>
      <c r="O61" s="94">
        <f>IFERROR(VLOOKUP(TEXT(O1,"yyyymm")&amp;"數值",國外_本益比!$E:$I,5,0),"")</f>
      </c>
      <c r="P61" s="95">
        <f>IFERROR(VLOOKUP(TEXT(P1,"yyyymm")&amp;"數值",國外_本益比!$E:$I,5,0),"")</f>
      </c>
      <c r="Q61" s="2"/>
      <c r="R61" s="2"/>
      <c r="S61" s="11"/>
      <c r="T61" s="90"/>
      <c r="U61" s="90"/>
      <c r="V61" s="2"/>
      <c r="W61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G18"/>
  <sheetViews>
    <sheetView workbookViewId="0" tabSelected="1"/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22.862142857142857" customWidth="1" bestFit="1"/>
    <col min="6" max="6" style="35" width="13.43357142857143" customWidth="1" bestFit="1"/>
    <col min="7" max="7" style="35" width="13.43357142857143" customWidth="1" bestFit="1"/>
  </cols>
  <sheetData>
    <row x14ac:dyDescent="0.25" r="1" customHeight="1" ht="18.75">
      <c r="A1" s="1" t="s">
        <v>86</v>
      </c>
      <c r="B1" s="1" t="s">
        <v>1</v>
      </c>
      <c r="C1" s="1" t="s">
        <v>2</v>
      </c>
      <c r="D1" s="2"/>
      <c r="E1" s="43" t="s">
        <v>87</v>
      </c>
      <c r="F1" s="42" t="s">
        <v>88</v>
      </c>
      <c r="G1" s="42" t="s">
        <v>92</v>
      </c>
    </row>
    <row x14ac:dyDescent="0.25" r="2" customHeight="1" ht="18.75">
      <c r="A2" s="1" t="s">
        <v>501</v>
      </c>
      <c r="B2" s="1" t="s">
        <v>11</v>
      </c>
      <c r="C2" s="1" t="s">
        <v>12</v>
      </c>
      <c r="D2" s="2"/>
      <c r="E2" s="43" t="s">
        <v>94</v>
      </c>
      <c r="F2" s="44" t="s">
        <v>95</v>
      </c>
      <c r="G2" s="44" t="s">
        <v>99</v>
      </c>
    </row>
    <row x14ac:dyDescent="0.25" r="3" customHeight="1" ht="18.75">
      <c r="A3" s="1" t="s">
        <v>502</v>
      </c>
      <c r="B3" s="1"/>
      <c r="C3" s="1" t="s">
        <v>503</v>
      </c>
      <c r="D3" s="2"/>
      <c r="E3" s="43" t="s">
        <v>503</v>
      </c>
      <c r="F3" s="41">
        <v>3.43</v>
      </c>
      <c r="G3" s="41">
        <v>2.84</v>
      </c>
    </row>
    <row x14ac:dyDescent="0.25" r="4" customHeight="1" ht="18.75">
      <c r="A4" s="1" t="s">
        <v>504</v>
      </c>
      <c r="B4" s="1"/>
      <c r="C4" s="1" t="s">
        <v>505</v>
      </c>
      <c r="D4" s="2"/>
      <c r="E4" s="43" t="s">
        <v>505</v>
      </c>
      <c r="F4" s="41">
        <v>8.34</v>
      </c>
      <c r="G4" s="41">
        <v>6.93</v>
      </c>
    </row>
    <row x14ac:dyDescent="0.25" r="5" customHeight="1" ht="18.75">
      <c r="A5" s="1" t="s">
        <v>504</v>
      </c>
      <c r="B5" s="1"/>
      <c r="C5" s="1" t="s">
        <v>506</v>
      </c>
      <c r="D5" s="2"/>
      <c r="E5" s="43" t="s">
        <v>506</v>
      </c>
      <c r="F5" s="41">
        <v>-0.48</v>
      </c>
      <c r="G5" s="41">
        <v>-0.74</v>
      </c>
    </row>
    <row x14ac:dyDescent="0.25" r="6" customHeight="1" ht="18.75">
      <c r="A6" s="1" t="s">
        <v>504</v>
      </c>
      <c r="B6" s="1"/>
      <c r="C6" s="1" t="s">
        <v>507</v>
      </c>
      <c r="D6" s="2"/>
      <c r="E6" s="43" t="s">
        <v>507</v>
      </c>
      <c r="F6" s="41">
        <v>-1.21</v>
      </c>
      <c r="G6" s="41">
        <v>2.67</v>
      </c>
    </row>
    <row x14ac:dyDescent="0.25" r="7" customHeight="1" ht="18.75">
      <c r="A7" s="1" t="s">
        <v>504</v>
      </c>
      <c r="B7" s="1"/>
      <c r="C7" s="1" t="s">
        <v>508</v>
      </c>
      <c r="D7" s="2"/>
      <c r="E7" s="43" t="s">
        <v>508</v>
      </c>
      <c r="F7" s="41">
        <v>-0.3</v>
      </c>
      <c r="G7" s="41">
        <v>0.75</v>
      </c>
    </row>
    <row x14ac:dyDescent="0.25" r="8" customHeight="1" ht="18.75">
      <c r="A8" s="1" t="s">
        <v>504</v>
      </c>
      <c r="B8" s="1"/>
      <c r="C8" s="1" t="s">
        <v>509</v>
      </c>
      <c r="D8" s="2"/>
      <c r="E8" s="43" t="s">
        <v>509</v>
      </c>
      <c r="F8" s="41">
        <v>2.7</v>
      </c>
      <c r="G8" s="41">
        <v>-0.42</v>
      </c>
    </row>
    <row x14ac:dyDescent="0.25" r="9" customHeight="1" ht="18.75">
      <c r="A9" s="1" t="s">
        <v>504</v>
      </c>
      <c r="B9" s="1"/>
      <c r="C9" s="1" t="s">
        <v>510</v>
      </c>
      <c r="D9" s="2"/>
      <c r="E9" s="43" t="s">
        <v>510</v>
      </c>
      <c r="F9" s="41">
        <v>-1.42</v>
      </c>
      <c r="G9" s="41">
        <v>-3.05</v>
      </c>
    </row>
    <row x14ac:dyDescent="0.25" r="10" customHeight="1" ht="18.75">
      <c r="A10" s="1" t="s">
        <v>504</v>
      </c>
      <c r="B10" s="1"/>
      <c r="C10" s="1" t="s">
        <v>511</v>
      </c>
      <c r="D10" s="2"/>
      <c r="E10" s="43" t="s">
        <v>511</v>
      </c>
      <c r="F10" s="41">
        <v>0.14</v>
      </c>
      <c r="G10" s="41">
        <v>-2.19</v>
      </c>
    </row>
    <row x14ac:dyDescent="0.25" r="11" customHeight="1" ht="18.75">
      <c r="A11" s="1" t="s">
        <v>504</v>
      </c>
      <c r="B11" s="1"/>
      <c r="C11" s="1" t="s">
        <v>512</v>
      </c>
      <c r="D11" s="2"/>
      <c r="E11" s="45" t="s">
        <v>513</v>
      </c>
      <c r="F11" s="41">
        <v>2.29</v>
      </c>
      <c r="G11" s="41">
        <v>-1.42</v>
      </c>
    </row>
    <row x14ac:dyDescent="0.25" r="12" customHeight="1" ht="18.75">
      <c r="A12" s="1" t="s">
        <v>504</v>
      </c>
      <c r="B12" s="1"/>
      <c r="C12" s="1" t="s">
        <v>514</v>
      </c>
      <c r="D12" s="2"/>
      <c r="E12" s="45" t="s">
        <v>515</v>
      </c>
      <c r="F12" s="41">
        <v>-0.28</v>
      </c>
      <c r="G12" s="41">
        <v>1.87</v>
      </c>
    </row>
    <row x14ac:dyDescent="0.25" r="13" customHeight="1" ht="18.75">
      <c r="A13" s="1" t="s">
        <v>504</v>
      </c>
      <c r="B13" s="1"/>
      <c r="C13" s="1" t="s">
        <v>516</v>
      </c>
      <c r="D13" s="2"/>
      <c r="E13" s="43" t="s">
        <v>516</v>
      </c>
      <c r="F13" s="41">
        <v>-9.48</v>
      </c>
      <c r="G13" s="41">
        <v>-9.07</v>
      </c>
    </row>
    <row x14ac:dyDescent="0.25" r="14" customHeight="1" ht="18.75">
      <c r="A14" s="1" t="s">
        <v>504</v>
      </c>
      <c r="B14" s="1"/>
      <c r="C14" s="1" t="s">
        <v>517</v>
      </c>
      <c r="D14" s="2"/>
      <c r="E14" s="43" t="s">
        <v>517</v>
      </c>
      <c r="F14" s="41">
        <v>-6.64</v>
      </c>
      <c r="G14" s="41">
        <v>-8.46</v>
      </c>
    </row>
    <row x14ac:dyDescent="0.25" r="15" customHeight="1" ht="18.75">
      <c r="A15" s="1" t="s">
        <v>504</v>
      </c>
      <c r="B15" s="1"/>
      <c r="C15" s="1" t="s">
        <v>518</v>
      </c>
      <c r="D15" s="2"/>
      <c r="E15" s="45" t="s">
        <v>519</v>
      </c>
      <c r="F15" s="41">
        <v>1.66</v>
      </c>
      <c r="G15" s="41">
        <v>-1.29</v>
      </c>
    </row>
    <row x14ac:dyDescent="0.25" r="16" customHeight="1" ht="18.75">
      <c r="A16" s="1" t="s">
        <v>504</v>
      </c>
      <c r="B16" s="1"/>
      <c r="C16" s="1" t="s">
        <v>520</v>
      </c>
      <c r="D16" s="2"/>
      <c r="E16" s="43" t="s">
        <v>520</v>
      </c>
      <c r="F16" s="16">
        <v>6.18</v>
      </c>
      <c r="G16" s="16">
        <v>3.83</v>
      </c>
    </row>
    <row x14ac:dyDescent="0.25" r="17" customHeight="1" ht="18.75">
      <c r="A17" s="1" t="s">
        <v>504</v>
      </c>
      <c r="B17" s="1"/>
      <c r="C17" s="1" t="s">
        <v>521</v>
      </c>
      <c r="D17" s="2"/>
      <c r="E17" s="43" t="s">
        <v>521</v>
      </c>
      <c r="F17" s="41">
        <v>6.07</v>
      </c>
      <c r="G17" s="41">
        <v>2.8</v>
      </c>
    </row>
    <row x14ac:dyDescent="0.25" r="18" customHeight="1" ht="18.75">
      <c r="A18" s="2"/>
      <c r="B18" s="2"/>
      <c r="C18" s="2"/>
      <c r="D18" s="2"/>
      <c r="E18" s="2"/>
      <c r="F18" s="30"/>
      <c r="G18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23"/>
  <sheetViews>
    <sheetView workbookViewId="0"/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12.719285714285713" customWidth="1" bestFit="1"/>
    <col min="6" max="6" style="35" width="14.005" customWidth="1" bestFit="1"/>
    <col min="7" max="7" style="35" width="21.005" customWidth="1" bestFit="1"/>
    <col min="8" max="8" style="35" width="10.43357142857143" customWidth="1" bestFit="1"/>
    <col min="9" max="9" style="37" width="13.576428571428572" customWidth="1" bestFit="1"/>
    <col min="10" max="10" style="37" width="13.576428571428572" customWidth="1" bestFit="1"/>
  </cols>
  <sheetData>
    <row x14ac:dyDescent="0.25" r="1" customHeight="1" ht="18.75">
      <c r="A1" s="1" t="s">
        <v>474</v>
      </c>
      <c r="B1" s="1" t="s">
        <v>1</v>
      </c>
      <c r="C1" s="1" t="s">
        <v>2</v>
      </c>
      <c r="D1" s="2"/>
      <c r="E1" s="43" t="s">
        <v>3</v>
      </c>
      <c r="F1" s="44" t="s">
        <v>411</v>
      </c>
      <c r="G1" s="44" t="s">
        <v>412</v>
      </c>
      <c r="H1" s="44" t="s">
        <v>413</v>
      </c>
      <c r="I1" s="54"/>
      <c r="J1" s="48"/>
    </row>
    <row x14ac:dyDescent="0.25" r="2" customHeight="1" ht="18.75">
      <c r="A2" s="1" t="s">
        <v>475</v>
      </c>
      <c r="B2" s="1" t="s">
        <v>11</v>
      </c>
      <c r="C2" s="1" t="s">
        <v>12</v>
      </c>
      <c r="D2" s="2"/>
      <c r="E2" s="43" t="s">
        <v>13</v>
      </c>
      <c r="F2" s="44" t="s">
        <v>476</v>
      </c>
      <c r="G2" s="44" t="s">
        <v>477</v>
      </c>
      <c r="H2" s="44" t="s">
        <v>478</v>
      </c>
      <c r="I2" s="50"/>
      <c r="J2" s="11"/>
    </row>
    <row x14ac:dyDescent="0.25" r="3" customHeight="1" ht="18.75">
      <c r="A3" s="1" t="s">
        <v>479</v>
      </c>
      <c r="B3" s="1"/>
      <c r="C3" s="1" t="s">
        <v>480</v>
      </c>
      <c r="D3" s="2"/>
      <c r="E3" s="43" t="s">
        <v>480</v>
      </c>
      <c r="F3" s="41">
        <v>6.59</v>
      </c>
      <c r="G3" s="41">
        <v>4.95</v>
      </c>
      <c r="H3" s="41">
        <v>-1.19</v>
      </c>
      <c r="I3" s="11"/>
      <c r="J3" s="11"/>
    </row>
    <row x14ac:dyDescent="0.25" r="4" customHeight="1" ht="18.75">
      <c r="A4" s="1" t="s">
        <v>481</v>
      </c>
      <c r="B4" s="1"/>
      <c r="C4" s="1" t="s">
        <v>482</v>
      </c>
      <c r="D4" s="2"/>
      <c r="E4" s="43" t="s">
        <v>482</v>
      </c>
      <c r="F4" s="41">
        <v>3.95</v>
      </c>
      <c r="G4" s="41">
        <v>3.37</v>
      </c>
      <c r="H4" s="41">
        <v>-5.52</v>
      </c>
      <c r="I4" s="11"/>
      <c r="J4" s="11"/>
    </row>
    <row x14ac:dyDescent="0.25" r="5" customHeight="1" ht="18.75">
      <c r="A5" s="1" t="s">
        <v>481</v>
      </c>
      <c r="B5" s="1"/>
      <c r="C5" s="1" t="s">
        <v>483</v>
      </c>
      <c r="D5" s="2"/>
      <c r="E5" s="43" t="s">
        <v>483</v>
      </c>
      <c r="F5" s="41">
        <v>5.35</v>
      </c>
      <c r="G5" s="41">
        <v>4.12</v>
      </c>
      <c r="H5" s="41">
        <v>3.53</v>
      </c>
      <c r="I5" s="11"/>
      <c r="J5" s="11"/>
    </row>
    <row x14ac:dyDescent="0.25" r="6" customHeight="1" ht="18.75">
      <c r="A6" s="1" t="s">
        <v>481</v>
      </c>
      <c r="B6" s="1"/>
      <c r="C6" s="1" t="s">
        <v>484</v>
      </c>
      <c r="D6" s="2"/>
      <c r="E6" s="43" t="s">
        <v>484</v>
      </c>
      <c r="F6" s="41">
        <v>5.16</v>
      </c>
      <c r="G6" s="41">
        <v>2.06</v>
      </c>
      <c r="H6" s="42" t="s">
        <v>246</v>
      </c>
      <c r="I6" s="11"/>
      <c r="J6" s="11"/>
    </row>
    <row x14ac:dyDescent="0.25" r="7" customHeight="1" ht="18.75">
      <c r="A7" s="1" t="s">
        <v>481</v>
      </c>
      <c r="B7" s="1"/>
      <c r="C7" s="1" t="s">
        <v>485</v>
      </c>
      <c r="D7" s="2"/>
      <c r="E7" s="43" t="s">
        <v>485</v>
      </c>
      <c r="F7" s="41">
        <v>-1.35</v>
      </c>
      <c r="G7" s="41">
        <v>3.74</v>
      </c>
      <c r="H7" s="42" t="s">
        <v>246</v>
      </c>
      <c r="I7" s="11"/>
      <c r="J7" s="11"/>
    </row>
    <row x14ac:dyDescent="0.25" r="8" customHeight="1" ht="18.75">
      <c r="A8" s="1" t="s">
        <v>481</v>
      </c>
      <c r="B8" s="1"/>
      <c r="C8" s="1" t="s">
        <v>486</v>
      </c>
      <c r="D8" s="2"/>
      <c r="E8" s="43" t="s">
        <v>486</v>
      </c>
      <c r="F8" s="41">
        <v>1.94</v>
      </c>
      <c r="G8" s="41">
        <v>3.21</v>
      </c>
      <c r="H8" s="42" t="s">
        <v>246</v>
      </c>
      <c r="I8" s="11"/>
      <c r="J8" s="11"/>
    </row>
    <row x14ac:dyDescent="0.25" r="9" customHeight="1" ht="18.75">
      <c r="A9" s="1" t="s">
        <v>481</v>
      </c>
      <c r="B9" s="1"/>
      <c r="C9" s="1" t="s">
        <v>487</v>
      </c>
      <c r="D9" s="2"/>
      <c r="E9" s="43" t="s">
        <v>487</v>
      </c>
      <c r="F9" s="41">
        <v>4.05</v>
      </c>
      <c r="G9" s="41">
        <v>0.99</v>
      </c>
      <c r="H9" s="41">
        <v>-3.31</v>
      </c>
      <c r="I9" s="11"/>
      <c r="J9" s="11"/>
    </row>
    <row x14ac:dyDescent="0.25" r="10" customHeight="1" ht="18.75">
      <c r="A10" s="1" t="s">
        <v>481</v>
      </c>
      <c r="B10" s="1"/>
      <c r="C10" s="1" t="s">
        <v>488</v>
      </c>
      <c r="D10" s="2"/>
      <c r="E10" s="43" t="s">
        <v>488</v>
      </c>
      <c r="F10" s="41">
        <v>2.05</v>
      </c>
      <c r="G10" s="41">
        <v>-1.11</v>
      </c>
      <c r="H10" s="41">
        <v>-2.83</v>
      </c>
      <c r="I10" s="11"/>
      <c r="J10" s="11"/>
    </row>
    <row x14ac:dyDescent="0.25" r="11" customHeight="1" ht="18.75">
      <c r="A11" s="1" t="s">
        <v>481</v>
      </c>
      <c r="B11" s="1"/>
      <c r="C11" s="1" t="s">
        <v>489</v>
      </c>
      <c r="D11" s="2"/>
      <c r="E11" s="43" t="s">
        <v>489</v>
      </c>
      <c r="F11" s="41">
        <v>2.91</v>
      </c>
      <c r="G11" s="41">
        <v>-1.74</v>
      </c>
      <c r="H11" s="41">
        <v>-3.03</v>
      </c>
      <c r="I11" s="11"/>
      <c r="J11" s="11"/>
    </row>
    <row x14ac:dyDescent="0.25" r="12" customHeight="1" ht="18.75">
      <c r="A12" s="1" t="s">
        <v>481</v>
      </c>
      <c r="B12" s="1"/>
      <c r="C12" s="1" t="s">
        <v>490</v>
      </c>
      <c r="D12" s="2"/>
      <c r="E12" s="43" t="s">
        <v>490</v>
      </c>
      <c r="F12" s="41">
        <v>3.92</v>
      </c>
      <c r="G12" s="41">
        <v>-1.74</v>
      </c>
      <c r="H12" s="48">
        <v>16</v>
      </c>
      <c r="I12" s="11"/>
      <c r="J12" s="11"/>
    </row>
    <row x14ac:dyDescent="0.25" r="13" customHeight="1" ht="18.75">
      <c r="A13" s="1" t="s">
        <v>481</v>
      </c>
      <c r="B13" s="1"/>
      <c r="C13" s="1" t="s">
        <v>491</v>
      </c>
      <c r="D13" s="2"/>
      <c r="E13" s="43" t="s">
        <v>491</v>
      </c>
      <c r="F13" s="41">
        <v>0.76</v>
      </c>
      <c r="G13" s="41">
        <v>-6.67</v>
      </c>
      <c r="H13" s="41">
        <v>10.16</v>
      </c>
      <c r="I13" s="11"/>
      <c r="J13" s="11"/>
    </row>
    <row x14ac:dyDescent="0.25" r="14" customHeight="1" ht="18.75">
      <c r="A14" s="1" t="s">
        <v>481</v>
      </c>
      <c r="B14" s="1"/>
      <c r="C14" s="1" t="s">
        <v>492</v>
      </c>
      <c r="D14" s="2"/>
      <c r="E14" s="43" t="s">
        <v>492</v>
      </c>
      <c r="F14" s="41">
        <v>4.1</v>
      </c>
      <c r="G14" s="41">
        <v>-2.92</v>
      </c>
      <c r="H14" s="41">
        <v>5.72</v>
      </c>
      <c r="I14" s="11"/>
      <c r="J14" s="11"/>
    </row>
    <row x14ac:dyDescent="0.25" r="15" customHeight="1" ht="18.75">
      <c r="A15" s="1" t="s">
        <v>481</v>
      </c>
      <c r="B15" s="1"/>
      <c r="C15" s="1" t="s">
        <v>493</v>
      </c>
      <c r="D15" s="2"/>
      <c r="E15" s="43" t="s">
        <v>493</v>
      </c>
      <c r="F15" s="41">
        <v>-0.64</v>
      </c>
      <c r="G15" s="41">
        <v>-0.83</v>
      </c>
      <c r="H15" s="41">
        <v>0.31</v>
      </c>
      <c r="I15" s="11"/>
      <c r="J15" s="11"/>
    </row>
    <row x14ac:dyDescent="0.25" r="16" customHeight="1" ht="18.75">
      <c r="A16" s="1" t="s">
        <v>481</v>
      </c>
      <c r="B16" s="1"/>
      <c r="C16" s="1" t="s">
        <v>494</v>
      </c>
      <c r="D16" s="2"/>
      <c r="E16" s="43" t="s">
        <v>494</v>
      </c>
      <c r="F16" s="41">
        <v>1.04</v>
      </c>
      <c r="G16" s="41">
        <v>5.9</v>
      </c>
      <c r="H16" s="41">
        <v>-2.38</v>
      </c>
      <c r="I16" s="11"/>
      <c r="J16" s="11"/>
    </row>
    <row x14ac:dyDescent="0.25" r="17" customHeight="1" ht="18.75">
      <c r="A17" s="1" t="s">
        <v>481</v>
      </c>
      <c r="B17" s="1"/>
      <c r="C17" s="1" t="s">
        <v>495</v>
      </c>
      <c r="D17" s="2"/>
      <c r="E17" s="43" t="s">
        <v>495</v>
      </c>
      <c r="F17" s="41">
        <v>-0.91</v>
      </c>
      <c r="G17" s="41">
        <v>5.27</v>
      </c>
      <c r="H17" s="41">
        <v>-0.01</v>
      </c>
      <c r="I17" s="11"/>
      <c r="J17" s="11"/>
    </row>
    <row x14ac:dyDescent="0.25" r="18" customHeight="1" ht="18.75">
      <c r="A18" s="1" t="s">
        <v>481</v>
      </c>
      <c r="B18" s="1"/>
      <c r="C18" s="1" t="s">
        <v>496</v>
      </c>
      <c r="D18" s="2"/>
      <c r="E18" s="43" t="s">
        <v>496</v>
      </c>
      <c r="F18" s="41">
        <v>-4.8</v>
      </c>
      <c r="G18" s="41">
        <v>4.05</v>
      </c>
      <c r="H18" s="41">
        <v>0.52</v>
      </c>
      <c r="I18" s="11"/>
      <c r="J18" s="11"/>
    </row>
    <row x14ac:dyDescent="0.25" r="19" customHeight="1" ht="18.75">
      <c r="A19" s="1" t="s">
        <v>481</v>
      </c>
      <c r="B19" s="1"/>
      <c r="C19" s="1" t="s">
        <v>497</v>
      </c>
      <c r="D19" s="2"/>
      <c r="E19" s="43" t="s">
        <v>497</v>
      </c>
      <c r="F19" s="41">
        <v>-1.97</v>
      </c>
      <c r="G19" s="41">
        <v>3.25</v>
      </c>
      <c r="H19" s="41">
        <v>-1.4</v>
      </c>
      <c r="I19" s="11"/>
      <c r="J19" s="11"/>
    </row>
    <row x14ac:dyDescent="0.25" r="20" customHeight="1" ht="18.75">
      <c r="A20" s="1" t="s">
        <v>481</v>
      </c>
      <c r="B20" s="1"/>
      <c r="C20" s="1" t="s">
        <v>498</v>
      </c>
      <c r="D20" s="2"/>
      <c r="E20" s="43" t="s">
        <v>498</v>
      </c>
      <c r="F20" s="41">
        <v>5.35</v>
      </c>
      <c r="G20" s="41">
        <v>3.32</v>
      </c>
      <c r="H20" s="41">
        <v>0.41</v>
      </c>
      <c r="I20" s="11"/>
      <c r="J20" s="11"/>
    </row>
    <row x14ac:dyDescent="0.25" r="21" customHeight="1" ht="18.75">
      <c r="A21" s="1" t="s">
        <v>481</v>
      </c>
      <c r="B21" s="1"/>
      <c r="C21" s="1" t="s">
        <v>499</v>
      </c>
      <c r="D21" s="2"/>
      <c r="E21" s="43" t="s">
        <v>499</v>
      </c>
      <c r="F21" s="41">
        <v>8.2</v>
      </c>
      <c r="G21" s="41">
        <v>8.15</v>
      </c>
      <c r="H21" s="41">
        <v>3.12</v>
      </c>
      <c r="I21" s="11"/>
      <c r="J21" s="11"/>
    </row>
    <row x14ac:dyDescent="0.25" r="22" customHeight="1" ht="18.75">
      <c r="A22" s="1" t="s">
        <v>481</v>
      </c>
      <c r="B22" s="1"/>
      <c r="C22" s="1" t="s">
        <v>500</v>
      </c>
      <c r="D22" s="2"/>
      <c r="E22" s="43" t="s">
        <v>500</v>
      </c>
      <c r="F22" s="41">
        <v>7.3</v>
      </c>
      <c r="G22" s="41">
        <v>7.81</v>
      </c>
      <c r="H22" s="41">
        <v>3.98</v>
      </c>
      <c r="I22" s="11"/>
      <c r="J22" s="11"/>
    </row>
    <row x14ac:dyDescent="0.25" r="23" customHeight="1" ht="18.75">
      <c r="A23" s="2"/>
      <c r="B23" s="2"/>
      <c r="C23" s="2"/>
      <c r="D23" s="2"/>
      <c r="E23" s="43"/>
      <c r="F23" s="30"/>
      <c r="G23" s="30"/>
      <c r="H23" s="30"/>
      <c r="I23" s="11"/>
      <c r="J23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O70"/>
  <sheetViews>
    <sheetView workbookViewId="0">
      <pane state="frozen" activePane="bottomLeft" topLeftCell="A3" ySplit="2" xSplit="0"/>
    </sheetView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28.005" customWidth="1" bestFit="1"/>
    <col min="6" max="6" style="35" width="11.719285714285713" customWidth="1" bestFit="1"/>
    <col min="7" max="7" style="35" width="11.719285714285713" customWidth="1" bestFit="1"/>
    <col min="8" max="8" style="35" width="11.719285714285713" customWidth="1" bestFit="1"/>
    <col min="9" max="9" style="35" width="11.719285714285713" customWidth="1" bestFit="1"/>
    <col min="10" max="10" style="35" width="11.719285714285713" customWidth="1" bestFit="1"/>
    <col min="11" max="11" style="35" width="11.719285714285713" customWidth="1" bestFit="1"/>
    <col min="12" max="12" style="34" width="13.576428571428572" customWidth="1" bestFit="1"/>
    <col min="13" max="13" style="34" width="13.576428571428572" customWidth="1" bestFit="1"/>
    <col min="14" max="14" style="34" width="13.576428571428572" customWidth="1" bestFit="1"/>
    <col min="15" max="15" style="34" width="13.576428571428572" customWidth="1" bestFit="1"/>
  </cols>
  <sheetData>
    <row x14ac:dyDescent="0.25" r="1" customHeight="1" ht="18.75">
      <c r="A1" s="1" t="s">
        <v>397</v>
      </c>
      <c r="B1" s="1" t="s">
        <v>1</v>
      </c>
      <c r="C1" s="1" t="s">
        <v>2</v>
      </c>
      <c r="D1" s="2"/>
      <c r="E1" s="43" t="s">
        <v>3</v>
      </c>
      <c r="F1" s="52" t="s">
        <v>398</v>
      </c>
      <c r="G1" s="52" t="s">
        <v>399</v>
      </c>
      <c r="H1" s="52" t="s">
        <v>400</v>
      </c>
      <c r="I1" s="52" t="s">
        <v>401</v>
      </c>
      <c r="J1" s="52" t="s">
        <v>402</v>
      </c>
      <c r="K1" s="52" t="s">
        <v>403</v>
      </c>
      <c r="L1" s="2"/>
      <c r="M1" s="2"/>
      <c r="N1" s="2"/>
      <c r="O1" s="2"/>
    </row>
    <row x14ac:dyDescent="0.25" r="2" customHeight="1" ht="18.75">
      <c r="A2" s="1" t="s">
        <v>404</v>
      </c>
      <c r="B2" s="1" t="s">
        <v>11</v>
      </c>
      <c r="C2" s="1" t="s">
        <v>12</v>
      </c>
      <c r="D2" s="2"/>
      <c r="E2" s="43" t="s">
        <v>13</v>
      </c>
      <c r="F2" s="42" t="s">
        <v>405</v>
      </c>
      <c r="G2" s="42" t="s">
        <v>406</v>
      </c>
      <c r="H2" s="42" t="s">
        <v>407</v>
      </c>
      <c r="I2" s="44" t="s">
        <v>408</v>
      </c>
      <c r="J2" s="42" t="s">
        <v>409</v>
      </c>
      <c r="K2" s="42" t="s">
        <v>410</v>
      </c>
      <c r="L2" s="2"/>
      <c r="M2" s="53" t="s">
        <v>411</v>
      </c>
      <c r="N2" s="53" t="s">
        <v>412</v>
      </c>
      <c r="O2" s="53" t="s">
        <v>413</v>
      </c>
    </row>
    <row x14ac:dyDescent="0.25" r="3" customHeight="1" ht="18.75">
      <c r="A3" s="1" t="s">
        <v>414</v>
      </c>
      <c r="B3" s="1"/>
      <c r="C3" s="1" t="s">
        <v>415</v>
      </c>
      <c r="D3" s="2"/>
      <c r="E3" s="43" t="s">
        <v>415</v>
      </c>
      <c r="F3" s="41">
        <v>22.72</v>
      </c>
      <c r="G3" s="41">
        <v>16.02</v>
      </c>
      <c r="H3" s="41">
        <v>17.34</v>
      </c>
      <c r="I3" s="41">
        <v>14.42</v>
      </c>
      <c r="J3" s="41">
        <v>26.73</v>
      </c>
      <c r="K3" s="41">
        <v>15.5</v>
      </c>
      <c r="L3" s="2"/>
      <c r="M3" s="2"/>
      <c r="N3" s="2"/>
      <c r="O3" s="2"/>
    </row>
    <row x14ac:dyDescent="0.25" r="4" customHeight="1" ht="18.75">
      <c r="A4" s="1" t="s">
        <v>28</v>
      </c>
      <c r="B4" s="1"/>
      <c r="C4" s="1" t="s">
        <v>416</v>
      </c>
      <c r="D4" s="2"/>
      <c r="E4" s="43" t="s">
        <v>416</v>
      </c>
      <c r="F4" s="41">
        <v>20.7</v>
      </c>
      <c r="G4" s="41">
        <v>14.22</v>
      </c>
      <c r="H4" s="41">
        <v>16.62</v>
      </c>
      <c r="I4" s="41">
        <v>14.08</v>
      </c>
      <c r="J4" s="41">
        <v>27.13</v>
      </c>
      <c r="K4" s="48">
        <v>14</v>
      </c>
      <c r="L4" s="2"/>
      <c r="M4" s="2"/>
      <c r="N4" s="2"/>
      <c r="O4" s="2"/>
    </row>
    <row x14ac:dyDescent="0.25" r="5" customHeight="1" ht="18.75">
      <c r="A5" s="1" t="s">
        <v>28</v>
      </c>
      <c r="B5" s="1"/>
      <c r="C5" s="1" t="s">
        <v>417</v>
      </c>
      <c r="D5" s="2"/>
      <c r="E5" s="43" t="s">
        <v>417</v>
      </c>
      <c r="F5" s="41">
        <v>18.21</v>
      </c>
      <c r="G5" s="41">
        <v>12.37</v>
      </c>
      <c r="H5" s="41">
        <v>14.28</v>
      </c>
      <c r="I5" s="41">
        <v>13.44</v>
      </c>
      <c r="J5" s="41">
        <v>24.75</v>
      </c>
      <c r="K5" s="41">
        <v>13.3</v>
      </c>
      <c r="L5" s="2"/>
      <c r="M5" s="2"/>
      <c r="N5" s="2"/>
      <c r="O5" s="2"/>
    </row>
    <row x14ac:dyDescent="0.25" r="6" customHeight="1" ht="18.75">
      <c r="A6" s="1" t="s">
        <v>28</v>
      </c>
      <c r="B6" s="1"/>
      <c r="C6" s="1" t="s">
        <v>418</v>
      </c>
      <c r="D6" s="2"/>
      <c r="E6" s="43" t="s">
        <v>418</v>
      </c>
      <c r="F6" s="41">
        <v>20.99</v>
      </c>
      <c r="G6" s="41">
        <v>12.7</v>
      </c>
      <c r="H6" s="41">
        <v>16.38</v>
      </c>
      <c r="I6" s="41">
        <v>14.07</v>
      </c>
      <c r="J6" s="41">
        <v>25.27</v>
      </c>
      <c r="K6" s="41">
        <v>13.9</v>
      </c>
      <c r="L6" s="2"/>
      <c r="M6" s="2"/>
      <c r="N6" s="2"/>
      <c r="O6" s="2"/>
    </row>
    <row x14ac:dyDescent="0.25" r="7" customHeight="1" ht="18.75">
      <c r="A7" s="1" t="s">
        <v>28</v>
      </c>
      <c r="B7" s="1"/>
      <c r="C7" s="1" t="s">
        <v>419</v>
      </c>
      <c r="D7" s="2"/>
      <c r="E7" s="43" t="s">
        <v>419</v>
      </c>
      <c r="F7" s="41">
        <v>21.21</v>
      </c>
      <c r="G7" s="41">
        <v>13.58</v>
      </c>
      <c r="H7" s="48">
        <v>18</v>
      </c>
      <c r="I7" s="41">
        <v>13.09</v>
      </c>
      <c r="J7" s="41">
        <v>25.65</v>
      </c>
      <c r="K7" s="41">
        <v>14.9</v>
      </c>
      <c r="L7" s="2"/>
      <c r="M7" s="2"/>
      <c r="N7" s="2"/>
      <c r="O7" s="2"/>
    </row>
    <row x14ac:dyDescent="0.25" r="8" customHeight="1" ht="18.75">
      <c r="A8" s="1" t="s">
        <v>28</v>
      </c>
      <c r="B8" s="1"/>
      <c r="C8" s="1" t="s">
        <v>420</v>
      </c>
      <c r="D8" s="2"/>
      <c r="E8" s="43" t="s">
        <v>420</v>
      </c>
      <c r="F8" s="41">
        <v>21.72</v>
      </c>
      <c r="G8" s="41">
        <v>14.43</v>
      </c>
      <c r="H8" s="41">
        <v>19.29</v>
      </c>
      <c r="I8" s="41">
        <v>13.9</v>
      </c>
      <c r="J8" s="41">
        <v>28.55</v>
      </c>
      <c r="K8" s="41">
        <v>19.5</v>
      </c>
      <c r="L8" s="2"/>
      <c r="M8" s="2"/>
      <c r="N8" s="2"/>
      <c r="O8" s="2"/>
    </row>
    <row x14ac:dyDescent="0.25" r="9" customHeight="1" ht="18.75">
      <c r="A9" s="1" t="s">
        <v>28</v>
      </c>
      <c r="B9" s="1"/>
      <c r="C9" s="1" t="s">
        <v>421</v>
      </c>
      <c r="D9" s="2"/>
      <c r="E9" s="43" t="s">
        <v>421</v>
      </c>
      <c r="F9" s="41">
        <v>24.32</v>
      </c>
      <c r="G9" s="41">
        <v>13.82</v>
      </c>
      <c r="H9" s="41">
        <v>20.42</v>
      </c>
      <c r="I9" s="41">
        <v>15.58</v>
      </c>
      <c r="J9" s="41">
        <v>32.66</v>
      </c>
      <c r="K9" s="41">
        <v>18.8</v>
      </c>
      <c r="L9" s="2"/>
      <c r="M9" s="2"/>
      <c r="N9" s="2"/>
      <c r="O9" s="2"/>
    </row>
    <row x14ac:dyDescent="0.25" r="10" customHeight="1" ht="18.75">
      <c r="A10" s="1" t="s">
        <v>28</v>
      </c>
      <c r="B10" s="1"/>
      <c r="C10" s="1" t="s">
        <v>422</v>
      </c>
      <c r="D10" s="2"/>
      <c r="E10" s="43" t="s">
        <v>422</v>
      </c>
      <c r="F10" s="41">
        <v>26.22</v>
      </c>
      <c r="G10" s="41">
        <v>18.95</v>
      </c>
      <c r="H10" s="41">
        <v>23.34</v>
      </c>
      <c r="I10" s="41">
        <v>16.03</v>
      </c>
      <c r="J10" s="41">
        <v>33.4</v>
      </c>
      <c r="K10" s="41">
        <v>20.3</v>
      </c>
      <c r="L10" s="2"/>
      <c r="M10" s="2"/>
      <c r="N10" s="2"/>
      <c r="O10" s="2"/>
    </row>
    <row x14ac:dyDescent="0.25" r="11" customHeight="1" ht="18.75">
      <c r="A11" s="1" t="s">
        <v>28</v>
      </c>
      <c r="B11" s="1"/>
      <c r="C11" s="1" t="s">
        <v>423</v>
      </c>
      <c r="D11" s="2"/>
      <c r="E11" s="43" t="s">
        <v>423</v>
      </c>
      <c r="F11" s="41">
        <v>26.91</v>
      </c>
      <c r="G11" s="41">
        <v>19.14</v>
      </c>
      <c r="H11" s="41">
        <v>22.62</v>
      </c>
      <c r="I11" s="41">
        <v>15.28</v>
      </c>
      <c r="J11" s="41">
        <v>31.39</v>
      </c>
      <c r="K11" s="41">
        <v>20.5</v>
      </c>
      <c r="L11" s="2"/>
      <c r="M11" s="2"/>
      <c r="N11" s="2"/>
      <c r="O11" s="2"/>
    </row>
    <row x14ac:dyDescent="0.25" r="12" customHeight="1" ht="18.75">
      <c r="A12" s="1" t="s">
        <v>28</v>
      </c>
      <c r="B12" s="1"/>
      <c r="C12" s="1" t="s">
        <v>424</v>
      </c>
      <c r="D12" s="2"/>
      <c r="E12" s="43" t="s">
        <v>424</v>
      </c>
      <c r="F12" s="41">
        <v>25.9</v>
      </c>
      <c r="G12" s="41">
        <v>16.24</v>
      </c>
      <c r="H12" s="41">
        <v>21.07</v>
      </c>
      <c r="I12" s="41">
        <v>15.37</v>
      </c>
      <c r="J12" s="41">
        <v>32.27</v>
      </c>
      <c r="K12" s="41">
        <v>19.9</v>
      </c>
      <c r="L12" s="2"/>
      <c r="M12" s="2"/>
      <c r="N12" s="2"/>
      <c r="O12" s="2"/>
    </row>
    <row x14ac:dyDescent="0.25" r="13" customHeight="1" ht="18.75">
      <c r="A13" s="1" t="s">
        <v>28</v>
      </c>
      <c r="B13" s="1"/>
      <c r="C13" s="1" t="s">
        <v>425</v>
      </c>
      <c r="D13" s="2"/>
      <c r="E13" s="43" t="s">
        <v>425</v>
      </c>
      <c r="F13" s="41">
        <v>28.22</v>
      </c>
      <c r="G13" s="41">
        <v>17.25</v>
      </c>
      <c r="H13" s="41">
        <v>23.75</v>
      </c>
      <c r="I13" s="41">
        <v>16.27</v>
      </c>
      <c r="J13" s="41">
        <v>33.09</v>
      </c>
      <c r="K13" s="41">
        <v>22.2</v>
      </c>
      <c r="L13" s="2"/>
      <c r="M13" s="2"/>
      <c r="N13" s="2"/>
      <c r="O13" s="2"/>
    </row>
    <row x14ac:dyDescent="0.25" r="14" customHeight="1" ht="18.75">
      <c r="A14" s="1" t="s">
        <v>28</v>
      </c>
      <c r="B14" s="1"/>
      <c r="C14" s="1" t="s">
        <v>71</v>
      </c>
      <c r="D14" s="2"/>
      <c r="E14" s="43" t="s">
        <v>71</v>
      </c>
      <c r="F14" s="41">
        <v>29.62</v>
      </c>
      <c r="G14" s="41">
        <v>17.53</v>
      </c>
      <c r="H14" s="41">
        <v>24.65</v>
      </c>
      <c r="I14" s="41">
        <v>16.76</v>
      </c>
      <c r="J14" s="41">
        <v>34.51</v>
      </c>
      <c r="K14" s="41">
        <v>22.8</v>
      </c>
      <c r="L14" s="2"/>
      <c r="M14" s="2"/>
      <c r="N14" s="2"/>
      <c r="O14" s="2"/>
    </row>
    <row x14ac:dyDescent="0.25" r="15" customHeight="1" ht="18.75">
      <c r="A15" s="1" t="s">
        <v>28</v>
      </c>
      <c r="B15" s="1"/>
      <c r="C15" s="1" t="s">
        <v>426</v>
      </c>
      <c r="D15" s="2"/>
      <c r="E15" s="43" t="s">
        <v>426</v>
      </c>
      <c r="F15" s="41">
        <v>28.81</v>
      </c>
      <c r="G15" s="41">
        <v>17.67</v>
      </c>
      <c r="H15" s="41">
        <v>23.9</v>
      </c>
      <c r="I15" s="41">
        <v>16.82</v>
      </c>
      <c r="J15" s="41">
        <v>34.82</v>
      </c>
      <c r="K15" s="41">
        <v>23.1</v>
      </c>
      <c r="L15" s="2"/>
      <c r="M15" s="2"/>
      <c r="N15" s="2"/>
      <c r="O15" s="2"/>
    </row>
    <row x14ac:dyDescent="0.25" r="16" customHeight="1" ht="18.75">
      <c r="A16" s="1" t="s">
        <v>28</v>
      </c>
      <c r="B16" s="1"/>
      <c r="C16" s="1" t="s">
        <v>427</v>
      </c>
      <c r="D16" s="2"/>
      <c r="E16" s="43" t="s">
        <v>427</v>
      </c>
      <c r="F16" s="41">
        <v>28.98</v>
      </c>
      <c r="G16" s="41">
        <v>18.74</v>
      </c>
      <c r="H16" s="41">
        <v>22.24</v>
      </c>
      <c r="I16" s="41">
        <v>16.94</v>
      </c>
      <c r="J16" s="41">
        <v>34.2</v>
      </c>
      <c r="K16" s="41">
        <v>23.9</v>
      </c>
      <c r="L16" s="2"/>
      <c r="M16" s="2"/>
      <c r="N16" s="2"/>
      <c r="O16" s="2"/>
    </row>
    <row x14ac:dyDescent="0.25" r="17" customHeight="1" ht="18.75">
      <c r="A17" s="1" t="s">
        <v>28</v>
      </c>
      <c r="B17" s="1"/>
      <c r="C17" s="1" t="s">
        <v>428</v>
      </c>
      <c r="D17" s="2"/>
      <c r="E17" s="43" t="s">
        <v>428</v>
      </c>
      <c r="F17" s="41">
        <v>29.72</v>
      </c>
      <c r="G17" s="41">
        <v>21.42</v>
      </c>
      <c r="H17" s="41">
        <v>23.16</v>
      </c>
      <c r="I17" s="41">
        <v>16.63</v>
      </c>
      <c r="J17" s="41">
        <v>31.47</v>
      </c>
      <c r="K17" s="41">
        <v>26.2</v>
      </c>
      <c r="L17" s="2"/>
      <c r="M17" s="2"/>
      <c r="N17" s="2"/>
      <c r="O17" s="2"/>
    </row>
    <row x14ac:dyDescent="0.25" r="18" customHeight="1" ht="18.75">
      <c r="A18" s="1" t="s">
        <v>28</v>
      </c>
      <c r="B18" s="1"/>
      <c r="C18" s="1" t="s">
        <v>429</v>
      </c>
      <c r="D18" s="2"/>
      <c r="E18" s="43" t="s">
        <v>429</v>
      </c>
      <c r="F18" s="41">
        <v>28.17</v>
      </c>
      <c r="G18" s="41">
        <v>20.63</v>
      </c>
      <c r="H18" s="41">
        <v>20.81</v>
      </c>
      <c r="I18" s="41">
        <v>16.74</v>
      </c>
      <c r="J18" s="41">
        <v>29.68</v>
      </c>
      <c r="K18" s="41">
        <v>25.5</v>
      </c>
      <c r="L18" s="2"/>
      <c r="M18" s="2"/>
      <c r="N18" s="2"/>
      <c r="O18" s="2"/>
    </row>
    <row x14ac:dyDescent="0.25" r="19" customHeight="1" ht="18.75">
      <c r="A19" s="1" t="s">
        <v>28</v>
      </c>
      <c r="B19" s="1"/>
      <c r="C19" s="1" t="s">
        <v>430</v>
      </c>
      <c r="D19" s="2"/>
      <c r="E19" s="43" t="s">
        <v>430</v>
      </c>
      <c r="F19" s="41">
        <v>27.65</v>
      </c>
      <c r="G19" s="41">
        <v>19.58</v>
      </c>
      <c r="H19" s="41">
        <v>18.78</v>
      </c>
      <c r="I19" s="41">
        <v>17.29</v>
      </c>
      <c r="J19" s="41">
        <v>31.19</v>
      </c>
      <c r="K19" s="41">
        <v>26.1</v>
      </c>
      <c r="L19" s="2"/>
      <c r="M19" s="2"/>
      <c r="N19" s="2"/>
      <c r="O19" s="2"/>
    </row>
    <row x14ac:dyDescent="0.25" r="20" customHeight="1" ht="18.75">
      <c r="A20" s="1" t="s">
        <v>28</v>
      </c>
      <c r="B20" s="1"/>
      <c r="C20" s="1" t="s">
        <v>431</v>
      </c>
      <c r="D20" s="2"/>
      <c r="E20" s="43" t="s">
        <v>431</v>
      </c>
      <c r="F20" s="41">
        <v>28.21</v>
      </c>
      <c r="G20" s="41">
        <v>19.64</v>
      </c>
      <c r="H20" s="41">
        <v>18.95</v>
      </c>
      <c r="I20" s="41">
        <v>17.39</v>
      </c>
      <c r="J20" s="41">
        <v>31.78</v>
      </c>
      <c r="K20" s="41">
        <v>21.7</v>
      </c>
      <c r="L20" s="2"/>
      <c r="M20" s="2"/>
      <c r="N20" s="2"/>
      <c r="O20" s="2"/>
    </row>
    <row x14ac:dyDescent="0.25" r="21" customHeight="1" ht="18.75">
      <c r="A21" s="1" t="s">
        <v>28</v>
      </c>
      <c r="B21" s="1"/>
      <c r="C21" s="1" t="s">
        <v>432</v>
      </c>
      <c r="D21" s="2"/>
      <c r="E21" s="43" t="s">
        <v>432</v>
      </c>
      <c r="F21" s="41">
        <v>26.58</v>
      </c>
      <c r="G21" s="41">
        <v>16.58</v>
      </c>
      <c r="H21" s="41">
        <v>16.77</v>
      </c>
      <c r="I21" s="41">
        <v>16.6</v>
      </c>
      <c r="J21" s="41">
        <v>30.63</v>
      </c>
      <c r="K21" s="41">
        <v>21.2</v>
      </c>
      <c r="L21" s="2"/>
      <c r="M21" s="2"/>
      <c r="N21" s="2"/>
      <c r="O21" s="2"/>
    </row>
    <row x14ac:dyDescent="0.25" r="22" customHeight="1" ht="18.75">
      <c r="A22" s="1" t="s">
        <v>28</v>
      </c>
      <c r="B22" s="1"/>
      <c r="C22" s="1" t="s">
        <v>433</v>
      </c>
      <c r="D22" s="2"/>
      <c r="E22" s="43" t="s">
        <v>433</v>
      </c>
      <c r="F22" s="41">
        <v>26.98</v>
      </c>
      <c r="G22" s="41">
        <v>15.1</v>
      </c>
      <c r="H22" s="41">
        <v>15.16</v>
      </c>
      <c r="I22" s="41">
        <v>17.37</v>
      </c>
      <c r="J22" s="41">
        <v>31.2</v>
      </c>
      <c r="K22" s="41">
        <v>21.9</v>
      </c>
      <c r="L22" s="2"/>
      <c r="M22" s="2"/>
      <c r="N22" s="2"/>
      <c r="O22" s="2"/>
    </row>
    <row x14ac:dyDescent="0.25" r="23" customHeight="1" ht="18.75">
      <c r="A23" s="1" t="s">
        <v>28</v>
      </c>
      <c r="B23" s="1"/>
      <c r="C23" s="1" t="s">
        <v>434</v>
      </c>
      <c r="D23" s="2"/>
      <c r="E23" s="43" t="s">
        <v>434</v>
      </c>
      <c r="F23" s="41">
        <v>25.62</v>
      </c>
      <c r="G23" s="41">
        <v>14.6</v>
      </c>
      <c r="H23" s="41">
        <v>15.66</v>
      </c>
      <c r="I23" s="41">
        <v>17.47</v>
      </c>
      <c r="J23" s="41">
        <v>30.89</v>
      </c>
      <c r="K23" s="41">
        <v>22.6</v>
      </c>
      <c r="L23" s="2"/>
      <c r="M23" s="2"/>
      <c r="N23" s="2"/>
      <c r="O23" s="2"/>
    </row>
    <row x14ac:dyDescent="0.25" r="24" customHeight="1" ht="18.75">
      <c r="A24" s="1" t="s">
        <v>28</v>
      </c>
      <c r="B24" s="1"/>
      <c r="C24" s="1" t="s">
        <v>435</v>
      </c>
      <c r="D24" s="2"/>
      <c r="E24" s="43" t="s">
        <v>435</v>
      </c>
      <c r="F24" s="41">
        <v>26.1</v>
      </c>
      <c r="G24" s="41">
        <v>14.87</v>
      </c>
      <c r="H24" s="41">
        <v>15.33</v>
      </c>
      <c r="I24" s="41">
        <v>17.37</v>
      </c>
      <c r="J24" s="41">
        <v>31.04</v>
      </c>
      <c r="K24" s="41">
        <v>22.3</v>
      </c>
      <c r="L24" s="2"/>
      <c r="M24" s="2"/>
      <c r="N24" s="2"/>
      <c r="O24" s="2"/>
    </row>
    <row x14ac:dyDescent="0.25" r="25" customHeight="1" ht="18.75">
      <c r="A25" s="1" t="s">
        <v>28</v>
      </c>
      <c r="B25" s="1"/>
      <c r="C25" s="1" t="s">
        <v>436</v>
      </c>
      <c r="D25" s="2"/>
      <c r="E25" s="43" t="s">
        <v>436</v>
      </c>
      <c r="F25" s="41">
        <v>25.3</v>
      </c>
      <c r="G25" s="41">
        <v>13.65</v>
      </c>
      <c r="H25" s="41">
        <v>14.49</v>
      </c>
      <c r="I25" s="41">
        <v>17.63</v>
      </c>
      <c r="J25" s="41">
        <v>32.7</v>
      </c>
      <c r="K25" s="41">
        <v>21.3</v>
      </c>
      <c r="L25" s="2"/>
      <c r="M25" s="2"/>
      <c r="N25" s="2"/>
      <c r="O25" s="2"/>
    </row>
    <row x14ac:dyDescent="0.25" r="26" customHeight="1" ht="18.75">
      <c r="A26" s="1" t="s">
        <v>28</v>
      </c>
      <c r="B26" s="1"/>
      <c r="C26" s="1" t="s">
        <v>72</v>
      </c>
      <c r="D26" s="2"/>
      <c r="E26" s="43" t="s">
        <v>72</v>
      </c>
      <c r="F26" s="41">
        <v>26.51</v>
      </c>
      <c r="G26" s="41">
        <v>14.29</v>
      </c>
      <c r="H26" s="41">
        <v>14.92</v>
      </c>
      <c r="I26" s="41">
        <v>18.02</v>
      </c>
      <c r="J26" s="41">
        <v>33.03</v>
      </c>
      <c r="K26" s="41">
        <v>21.9</v>
      </c>
      <c r="L26" s="2"/>
      <c r="M26" s="2"/>
      <c r="N26" s="2"/>
      <c r="O26" s="2"/>
    </row>
    <row x14ac:dyDescent="0.25" r="27" customHeight="1" ht="18.75">
      <c r="A27" s="1" t="s">
        <v>28</v>
      </c>
      <c r="B27" s="1"/>
      <c r="C27" s="1" t="s">
        <v>437</v>
      </c>
      <c r="D27" s="2"/>
      <c r="E27" s="43" t="s">
        <v>437</v>
      </c>
      <c r="F27" s="41">
        <v>23.9</v>
      </c>
      <c r="G27" s="41">
        <v>16.01</v>
      </c>
      <c r="H27" s="41">
        <v>14.66</v>
      </c>
      <c r="I27" s="41">
        <v>16.63</v>
      </c>
      <c r="J27" s="41">
        <v>29.63</v>
      </c>
      <c r="K27" s="41">
        <v>20.8</v>
      </c>
      <c r="L27" s="2"/>
      <c r="M27" s="2"/>
      <c r="N27" s="2"/>
      <c r="O27" s="2"/>
    </row>
    <row x14ac:dyDescent="0.25" r="28" customHeight="1" ht="18.75">
      <c r="A28" s="1" t="s">
        <v>28</v>
      </c>
      <c r="B28" s="1"/>
      <c r="C28" s="1" t="s">
        <v>438</v>
      </c>
      <c r="D28" s="2"/>
      <c r="E28" s="43" t="s">
        <v>438</v>
      </c>
      <c r="F28" s="41">
        <v>21.96</v>
      </c>
      <c r="G28" s="41">
        <v>15.02</v>
      </c>
      <c r="H28" s="41">
        <v>14.14</v>
      </c>
      <c r="I28" s="41">
        <v>17.16</v>
      </c>
      <c r="J28" s="41">
        <v>30.26</v>
      </c>
      <c r="K28" s="41">
        <v>20.7</v>
      </c>
      <c r="L28" s="2"/>
      <c r="M28" s="2"/>
      <c r="N28" s="2"/>
      <c r="O28" s="2"/>
    </row>
    <row x14ac:dyDescent="0.25" r="29" customHeight="1" ht="18.75">
      <c r="A29" s="1" t="s">
        <v>28</v>
      </c>
      <c r="B29" s="1"/>
      <c r="C29" s="1" t="s">
        <v>439</v>
      </c>
      <c r="D29" s="2"/>
      <c r="E29" s="43" t="s">
        <v>439</v>
      </c>
      <c r="F29" s="41">
        <v>22.76</v>
      </c>
      <c r="G29" s="41">
        <v>14.97</v>
      </c>
      <c r="H29" s="41">
        <v>14.53</v>
      </c>
      <c r="I29" s="41">
        <v>16.13</v>
      </c>
      <c r="J29" s="41">
        <v>25.89</v>
      </c>
      <c r="K29" s="41">
        <v>19.7</v>
      </c>
      <c r="L29" s="2"/>
      <c r="M29" s="2"/>
      <c r="N29" s="2"/>
      <c r="O29" s="2"/>
    </row>
    <row x14ac:dyDescent="0.25" r="30" customHeight="1" ht="18.75">
      <c r="A30" s="1" t="s">
        <v>28</v>
      </c>
      <c r="B30" s="1"/>
      <c r="C30" s="1" t="s">
        <v>440</v>
      </c>
      <c r="D30" s="2"/>
      <c r="E30" s="43" t="s">
        <v>440</v>
      </c>
      <c r="F30" s="41">
        <v>20.46</v>
      </c>
      <c r="G30" s="41">
        <v>15.25</v>
      </c>
      <c r="H30" s="41">
        <v>14.3</v>
      </c>
      <c r="I30" s="41">
        <v>15.14</v>
      </c>
      <c r="J30" s="41">
        <v>21.58</v>
      </c>
      <c r="K30" s="41">
        <v>19.2</v>
      </c>
      <c r="L30" s="2"/>
      <c r="M30" s="2"/>
      <c r="N30" s="2"/>
      <c r="O30" s="2"/>
    </row>
    <row x14ac:dyDescent="0.25" r="31" customHeight="1" ht="18.75">
      <c r="A31" s="1" t="s">
        <v>28</v>
      </c>
      <c r="B31" s="1"/>
      <c r="C31" s="1" t="s">
        <v>441</v>
      </c>
      <c r="D31" s="2"/>
      <c r="E31" s="43" t="s">
        <v>441</v>
      </c>
      <c r="F31" s="41">
        <v>20.1</v>
      </c>
      <c r="G31" s="41">
        <v>15.11</v>
      </c>
      <c r="H31" s="41">
        <v>12.99</v>
      </c>
      <c r="I31" s="41">
        <v>12.83</v>
      </c>
      <c r="J31" s="41">
        <v>23.55</v>
      </c>
      <c r="K31" s="41">
        <v>19.1</v>
      </c>
      <c r="L31" s="2"/>
      <c r="M31" s="2"/>
      <c r="N31" s="2"/>
      <c r="O31" s="2"/>
    </row>
    <row x14ac:dyDescent="0.25" r="32" customHeight="1" ht="18.75">
      <c r="A32" s="1" t="s">
        <v>28</v>
      </c>
      <c r="B32" s="1"/>
      <c r="C32" s="1" t="s">
        <v>442</v>
      </c>
      <c r="D32" s="2"/>
      <c r="E32" s="43" t="s">
        <v>442</v>
      </c>
      <c r="F32" s="41">
        <v>18.46</v>
      </c>
      <c r="G32" s="41">
        <v>14.36</v>
      </c>
      <c r="H32" s="41">
        <v>11.69</v>
      </c>
      <c r="I32" s="41">
        <v>13.73</v>
      </c>
      <c r="J32" s="41">
        <v>26.14</v>
      </c>
      <c r="K32" s="41">
        <v>14.3</v>
      </c>
      <c r="L32" s="2"/>
      <c r="M32" s="2"/>
      <c r="N32" s="2"/>
      <c r="O32" s="2"/>
    </row>
    <row x14ac:dyDescent="0.25" r="33" customHeight="1" ht="18.75">
      <c r="A33" s="1" t="s">
        <v>28</v>
      </c>
      <c r="B33" s="1"/>
      <c r="C33" s="1" t="s">
        <v>443</v>
      </c>
      <c r="D33" s="2"/>
      <c r="E33" s="43" t="s">
        <v>443</v>
      </c>
      <c r="F33" s="41">
        <v>20.18</v>
      </c>
      <c r="G33" s="41">
        <v>14.93</v>
      </c>
      <c r="H33" s="41">
        <v>12.64</v>
      </c>
      <c r="I33" s="41">
        <v>13.22</v>
      </c>
      <c r="J33" s="41">
        <v>25.58</v>
      </c>
      <c r="K33" s="41">
        <v>14.9</v>
      </c>
      <c r="L33" s="2"/>
      <c r="M33" s="2"/>
      <c r="N33" s="2"/>
      <c r="O33" s="2"/>
    </row>
    <row x14ac:dyDescent="0.25" r="34" customHeight="1" ht="18.75">
      <c r="A34" s="1" t="s">
        <v>28</v>
      </c>
      <c r="B34" s="1"/>
      <c r="C34" s="1" t="s">
        <v>444</v>
      </c>
      <c r="D34" s="2"/>
      <c r="E34" s="43" t="s">
        <v>444</v>
      </c>
      <c r="F34" s="41">
        <v>19.11</v>
      </c>
      <c r="G34" s="41">
        <v>14.04</v>
      </c>
      <c r="H34" s="41">
        <v>12.8</v>
      </c>
      <c r="I34" s="41">
        <v>13.11</v>
      </c>
      <c r="J34" s="41">
        <v>24.67</v>
      </c>
      <c r="K34" s="48">
        <v>15</v>
      </c>
      <c r="L34" s="2"/>
      <c r="M34" s="2"/>
      <c r="N34" s="2"/>
      <c r="O34" s="2"/>
    </row>
    <row x14ac:dyDescent="0.25" r="35" customHeight="1" ht="18.75">
      <c r="A35" s="1" t="s">
        <v>28</v>
      </c>
      <c r="B35" s="1"/>
      <c r="C35" s="1" t="s">
        <v>445</v>
      </c>
      <c r="D35" s="2"/>
      <c r="E35" s="43" t="s">
        <v>445</v>
      </c>
      <c r="F35" s="41">
        <v>17.46</v>
      </c>
      <c r="G35" s="41">
        <v>13.1</v>
      </c>
      <c r="H35" s="48">
        <v>12</v>
      </c>
      <c r="I35" s="41">
        <v>12.45</v>
      </c>
      <c r="J35" s="41">
        <v>22.59</v>
      </c>
      <c r="K35" s="41">
        <v>14.1</v>
      </c>
      <c r="L35" s="2"/>
      <c r="M35" s="2"/>
      <c r="N35" s="2"/>
      <c r="O35" s="2"/>
    </row>
    <row x14ac:dyDescent="0.25" r="36" customHeight="1" ht="18.75">
      <c r="A36" s="1" t="s">
        <v>28</v>
      </c>
      <c r="B36" s="1"/>
      <c r="C36" s="1" t="s">
        <v>446</v>
      </c>
      <c r="D36" s="2"/>
      <c r="E36" s="43" t="s">
        <v>446</v>
      </c>
      <c r="F36" s="41">
        <v>19.71</v>
      </c>
      <c r="G36" s="41">
        <v>15.01</v>
      </c>
      <c r="H36" s="41">
        <v>12.89</v>
      </c>
      <c r="I36" s="41">
        <v>11.96</v>
      </c>
      <c r="J36" s="41">
        <v>22.27</v>
      </c>
      <c r="K36" s="41">
        <v>14.8</v>
      </c>
      <c r="L36" s="2"/>
      <c r="M36" s="2"/>
      <c r="N36" s="2"/>
      <c r="O36" s="2"/>
    </row>
    <row x14ac:dyDescent="0.25" r="37" customHeight="1" ht="18.75">
      <c r="A37" s="1" t="s">
        <v>28</v>
      </c>
      <c r="B37" s="1"/>
      <c r="C37" s="1" t="s">
        <v>447</v>
      </c>
      <c r="D37" s="2"/>
      <c r="E37" s="43" t="s">
        <v>447</v>
      </c>
      <c r="F37" s="41">
        <v>20.4</v>
      </c>
      <c r="G37" s="41">
        <v>17.13</v>
      </c>
      <c r="H37" s="41">
        <v>13.53</v>
      </c>
      <c r="I37" s="41">
        <v>12.99</v>
      </c>
      <c r="J37" s="41">
        <v>23.85</v>
      </c>
      <c r="K37" s="41">
        <v>15.1</v>
      </c>
      <c r="L37" s="2"/>
      <c r="M37" s="2"/>
      <c r="N37" s="2"/>
      <c r="O37" s="2"/>
    </row>
    <row x14ac:dyDescent="0.25" r="38" customHeight="1" ht="18.75">
      <c r="A38" s="1" t="s">
        <v>28</v>
      </c>
      <c r="B38" s="1"/>
      <c r="C38" s="1" t="s">
        <v>73</v>
      </c>
      <c r="D38" s="2"/>
      <c r="E38" s="43" t="s">
        <v>73</v>
      </c>
      <c r="F38" s="41">
        <v>19.18</v>
      </c>
      <c r="G38" s="48">
        <v>17</v>
      </c>
      <c r="H38" s="41">
        <v>13.05</v>
      </c>
      <c r="I38" s="41">
        <v>12.78</v>
      </c>
      <c r="J38" s="41">
        <v>23.44</v>
      </c>
      <c r="K38" s="41">
        <v>14.4</v>
      </c>
      <c r="L38" s="2"/>
      <c r="M38" s="2"/>
      <c r="N38" s="2"/>
      <c r="O38" s="2"/>
    </row>
    <row x14ac:dyDescent="0.25" r="39" customHeight="1" ht="18.75">
      <c r="A39" s="1" t="s">
        <v>28</v>
      </c>
      <c r="B39" s="1"/>
      <c r="C39" s="1" t="s">
        <v>448</v>
      </c>
      <c r="D39" s="2"/>
      <c r="E39" s="43" t="s">
        <v>448</v>
      </c>
      <c r="F39" s="41">
        <v>20.64</v>
      </c>
      <c r="G39" s="41">
        <v>17.56</v>
      </c>
      <c r="H39" s="41">
        <v>14.47</v>
      </c>
      <c r="I39" s="41">
        <v>13.51</v>
      </c>
      <c r="J39" s="41">
        <v>25.53</v>
      </c>
      <c r="K39" s="48">
        <v>15</v>
      </c>
      <c r="L39" s="2"/>
      <c r="M39" s="2"/>
      <c r="N39" s="2"/>
      <c r="O39" s="2"/>
    </row>
    <row x14ac:dyDescent="0.25" r="40" customHeight="1" ht="18.75">
      <c r="A40" s="1" t="s">
        <v>28</v>
      </c>
      <c r="B40" s="1"/>
      <c r="C40" s="1" t="s">
        <v>449</v>
      </c>
      <c r="D40" s="2"/>
      <c r="E40" s="43" t="s">
        <v>449</v>
      </c>
      <c r="F40" s="41">
        <v>20.07</v>
      </c>
      <c r="G40" s="41">
        <v>15.31</v>
      </c>
      <c r="H40" s="41">
        <v>13.36</v>
      </c>
      <c r="I40" s="41">
        <v>13.63</v>
      </c>
      <c r="J40" s="41">
        <v>25.59</v>
      </c>
      <c r="K40" s="41">
        <v>15.1</v>
      </c>
      <c r="L40" s="2"/>
      <c r="M40" s="2"/>
      <c r="N40" s="2"/>
      <c r="O40" s="2"/>
    </row>
    <row x14ac:dyDescent="0.25" r="41" customHeight="1" ht="18.75">
      <c r="A41" s="1" t="s">
        <v>28</v>
      </c>
      <c r="B41" s="1"/>
      <c r="C41" s="1" t="s">
        <v>450</v>
      </c>
      <c r="D41" s="2"/>
      <c r="E41" s="43" t="s">
        <v>450</v>
      </c>
      <c r="F41" s="41">
        <v>20.89</v>
      </c>
      <c r="G41" s="41">
        <v>11.65</v>
      </c>
      <c r="H41" s="41">
        <v>13.49</v>
      </c>
      <c r="I41" s="41">
        <v>13.64</v>
      </c>
      <c r="J41" s="41">
        <v>24.29</v>
      </c>
      <c r="K41" s="48">
        <v>15</v>
      </c>
      <c r="L41" s="2"/>
      <c r="M41" s="2"/>
      <c r="N41" s="2"/>
      <c r="O41" s="2"/>
    </row>
    <row x14ac:dyDescent="0.25" r="42" customHeight="1" ht="18.75">
      <c r="A42" s="1" t="s">
        <v>28</v>
      </c>
      <c r="B42" s="1"/>
      <c r="C42" s="1" t="s">
        <v>451</v>
      </c>
      <c r="D42" s="2"/>
      <c r="E42" s="43" t="s">
        <v>451</v>
      </c>
      <c r="F42" s="41">
        <v>21.6</v>
      </c>
      <c r="G42" s="41">
        <v>12.15</v>
      </c>
      <c r="H42" s="41">
        <v>13.67</v>
      </c>
      <c r="I42" s="41">
        <v>13.92</v>
      </c>
      <c r="J42" s="41">
        <v>24.28</v>
      </c>
      <c r="K42" s="41">
        <v>15.3</v>
      </c>
      <c r="L42" s="2"/>
      <c r="M42" s="2"/>
      <c r="N42" s="2"/>
      <c r="O42" s="2"/>
    </row>
    <row x14ac:dyDescent="0.25" r="43" customHeight="1" ht="18.75">
      <c r="A43" s="1" t="s">
        <v>28</v>
      </c>
      <c r="B43" s="1"/>
      <c r="C43" s="1" t="s">
        <v>452</v>
      </c>
      <c r="D43" s="2"/>
      <c r="E43" s="43" t="s">
        <v>452</v>
      </c>
      <c r="F43" s="41">
        <v>22.11</v>
      </c>
      <c r="G43" s="41">
        <v>14.14</v>
      </c>
      <c r="H43" s="41">
        <v>13.24</v>
      </c>
      <c r="I43" s="41">
        <v>12.73</v>
      </c>
      <c r="J43" s="41">
        <v>23.55</v>
      </c>
      <c r="K43" s="41">
        <v>15.8</v>
      </c>
      <c r="L43" s="2"/>
      <c r="M43" s="2"/>
      <c r="N43" s="2"/>
      <c r="O43" s="2"/>
    </row>
    <row x14ac:dyDescent="0.25" r="44" customHeight="1" ht="18.75">
      <c r="A44" s="1" t="s">
        <v>28</v>
      </c>
      <c r="B44" s="1"/>
      <c r="C44" s="1" t="s">
        <v>453</v>
      </c>
      <c r="D44" s="2"/>
      <c r="E44" s="43" t="s">
        <v>453</v>
      </c>
      <c r="F44" s="41">
        <v>23.65</v>
      </c>
      <c r="G44" s="41">
        <v>14.15</v>
      </c>
      <c r="H44" s="41">
        <v>13.6</v>
      </c>
      <c r="I44" s="41">
        <v>12.76</v>
      </c>
      <c r="J44" s="41">
        <v>24.03</v>
      </c>
      <c r="K44" s="41">
        <v>16.8</v>
      </c>
      <c r="L44" s="2"/>
      <c r="M44" s="2"/>
      <c r="N44" s="2"/>
      <c r="O44" s="2"/>
    </row>
    <row x14ac:dyDescent="0.25" r="45" customHeight="1" ht="18.75">
      <c r="A45" s="1" t="s">
        <v>28</v>
      </c>
      <c r="B45" s="1"/>
      <c r="C45" s="1" t="s">
        <v>454</v>
      </c>
      <c r="D45" s="2"/>
      <c r="E45" s="43" t="s">
        <v>454</v>
      </c>
      <c r="F45" s="41">
        <v>24.15</v>
      </c>
      <c r="G45" s="41">
        <v>17.25</v>
      </c>
      <c r="H45" s="41">
        <v>13.63</v>
      </c>
      <c r="I45" s="41">
        <v>13.09</v>
      </c>
      <c r="J45" s="41">
        <v>24.28</v>
      </c>
      <c r="K45" s="48">
        <v>17</v>
      </c>
      <c r="L45" s="2"/>
      <c r="M45" s="2"/>
      <c r="N45" s="2"/>
      <c r="O45" s="2"/>
    </row>
    <row x14ac:dyDescent="0.25" r="46" customHeight="1" ht="18.75">
      <c r="A46" s="1" t="s">
        <v>28</v>
      </c>
      <c r="B46" s="1"/>
      <c r="C46" s="1" t="s">
        <v>455</v>
      </c>
      <c r="D46" s="2"/>
      <c r="E46" s="43" t="s">
        <v>455</v>
      </c>
      <c r="F46" s="41">
        <v>22.93</v>
      </c>
      <c r="G46" s="41">
        <v>12.97</v>
      </c>
      <c r="H46" s="41">
        <v>12.8</v>
      </c>
      <c r="I46" s="41">
        <v>12.49</v>
      </c>
      <c r="J46" s="41">
        <v>22.89</v>
      </c>
      <c r="K46" s="41">
        <v>17.1</v>
      </c>
      <c r="L46" s="2"/>
      <c r="M46" s="2"/>
      <c r="N46" s="2"/>
      <c r="O46" s="2"/>
    </row>
    <row x14ac:dyDescent="0.25" r="47" customHeight="1" ht="18.75">
      <c r="A47" s="1" t="s">
        <v>28</v>
      </c>
      <c r="B47" s="1"/>
      <c r="C47" s="1" t="s">
        <v>456</v>
      </c>
      <c r="D47" s="2"/>
      <c r="E47" s="43" t="s">
        <v>456</v>
      </c>
      <c r="F47" s="41">
        <v>21.9</v>
      </c>
      <c r="G47" s="41">
        <v>13.07</v>
      </c>
      <c r="H47" s="41">
        <v>12.22</v>
      </c>
      <c r="I47" s="41">
        <v>12.46</v>
      </c>
      <c r="J47" s="41">
        <v>22.46</v>
      </c>
      <c r="K47" s="48">
        <v>17</v>
      </c>
      <c r="L47" s="2"/>
      <c r="M47" s="2"/>
      <c r="N47" s="2"/>
      <c r="O47" s="2"/>
    </row>
    <row x14ac:dyDescent="0.25" r="48" customHeight="1" ht="18.75">
      <c r="A48" s="1" t="s">
        <v>28</v>
      </c>
      <c r="B48" s="1"/>
      <c r="C48" s="1" t="s">
        <v>457</v>
      </c>
      <c r="D48" s="2"/>
      <c r="E48" s="43" t="s">
        <v>457</v>
      </c>
      <c r="F48" s="41">
        <v>21.33</v>
      </c>
      <c r="G48" s="41">
        <v>12.03</v>
      </c>
      <c r="H48" s="41">
        <v>11.57</v>
      </c>
      <c r="I48" s="41">
        <v>12.06</v>
      </c>
      <c r="J48" s="41">
        <v>22.01</v>
      </c>
      <c r="K48" s="41">
        <v>16.5</v>
      </c>
      <c r="L48" s="2"/>
      <c r="M48" s="2"/>
      <c r="N48" s="2"/>
      <c r="O48" s="2"/>
    </row>
    <row x14ac:dyDescent="0.25" r="49" customHeight="1" ht="18.75">
      <c r="A49" s="1" t="s">
        <v>28</v>
      </c>
      <c r="B49" s="1"/>
      <c r="C49" s="1" t="s">
        <v>458</v>
      </c>
      <c r="D49" s="2"/>
      <c r="E49" s="43" t="s">
        <v>458</v>
      </c>
      <c r="F49" s="41">
        <v>23.02</v>
      </c>
      <c r="G49" s="41">
        <v>10.33</v>
      </c>
      <c r="H49" s="41">
        <v>12.38</v>
      </c>
      <c r="I49" s="41">
        <v>12.11</v>
      </c>
      <c r="J49" s="41">
        <v>22.05</v>
      </c>
      <c r="K49" s="41">
        <v>17.4</v>
      </c>
      <c r="L49" s="2"/>
      <c r="M49" s="2"/>
      <c r="N49" s="2"/>
      <c r="O49" s="2"/>
    </row>
    <row x14ac:dyDescent="0.25" r="50" customHeight="1" ht="18.75">
      <c r="A50" s="1" t="s">
        <v>28</v>
      </c>
      <c r="B50" s="1"/>
      <c r="C50" s="1" t="s">
        <v>74</v>
      </c>
      <c r="D50" s="2"/>
      <c r="E50" s="43" t="s">
        <v>74</v>
      </c>
      <c r="F50" s="41">
        <v>24.06</v>
      </c>
      <c r="G50" s="41">
        <v>10.67</v>
      </c>
      <c r="H50" s="41">
        <v>12.66</v>
      </c>
      <c r="I50" s="41">
        <v>11.92</v>
      </c>
      <c r="J50" s="41">
        <v>21.61</v>
      </c>
      <c r="K50" s="41">
        <v>17.3</v>
      </c>
      <c r="L50" s="2"/>
      <c r="M50" s="2"/>
      <c r="N50" s="2"/>
      <c r="O50" s="2"/>
    </row>
    <row x14ac:dyDescent="0.25" r="51" customHeight="1" ht="18.75">
      <c r="A51" s="1" t="s">
        <v>28</v>
      </c>
      <c r="B51" s="1"/>
      <c r="C51" s="1" t="s">
        <v>459</v>
      </c>
      <c r="D51" s="2"/>
      <c r="E51" s="43" t="s">
        <v>459</v>
      </c>
      <c r="F51" s="41">
        <v>24.59</v>
      </c>
      <c r="G51" s="41">
        <v>10.62</v>
      </c>
      <c r="H51" s="41">
        <v>12.81</v>
      </c>
      <c r="I51" s="41">
        <v>11.2</v>
      </c>
      <c r="J51" s="41">
        <v>18.29</v>
      </c>
      <c r="K51" s="41">
        <v>18.6</v>
      </c>
      <c r="L51" s="2"/>
      <c r="M51" s="2"/>
      <c r="N51" s="2"/>
      <c r="O51" s="2"/>
    </row>
    <row x14ac:dyDescent="0.25" r="52" customHeight="1" ht="18.75">
      <c r="A52" s="1" t="s">
        <v>28</v>
      </c>
      <c r="B52" s="1"/>
      <c r="C52" s="1" t="s">
        <v>460</v>
      </c>
      <c r="D52" s="2"/>
      <c r="E52" s="43" t="s">
        <v>460</v>
      </c>
      <c r="F52" s="41">
        <v>25.28</v>
      </c>
      <c r="G52" s="41">
        <v>10.53</v>
      </c>
      <c r="H52" s="41">
        <v>14.1</v>
      </c>
      <c r="I52" s="41">
        <v>12.12</v>
      </c>
      <c r="J52" s="41">
        <v>20.33</v>
      </c>
      <c r="K52" s="41">
        <v>19.5</v>
      </c>
      <c r="L52" s="2"/>
      <c r="M52" s="2"/>
      <c r="N52" s="2"/>
      <c r="O52" s="2"/>
    </row>
    <row x14ac:dyDescent="0.25" r="53" customHeight="1" ht="18.75">
      <c r="A53" s="1" t="s">
        <v>28</v>
      </c>
      <c r="B53" s="1"/>
      <c r="C53" s="1" t="s">
        <v>461</v>
      </c>
      <c r="D53" s="2"/>
      <c r="E53" s="43" t="s">
        <v>461</v>
      </c>
      <c r="F53" s="41">
        <v>26.12</v>
      </c>
      <c r="G53" s="41">
        <v>11.45</v>
      </c>
      <c r="H53" s="41">
        <v>15.53</v>
      </c>
      <c r="I53" s="41">
        <v>12.22</v>
      </c>
      <c r="J53" s="41">
        <v>20.97</v>
      </c>
      <c r="K53" s="41">
        <v>20.2</v>
      </c>
      <c r="L53" s="2"/>
      <c r="M53" s="2"/>
      <c r="N53" s="2"/>
      <c r="O53" s="2"/>
    </row>
    <row x14ac:dyDescent="0.25" r="54" customHeight="1" ht="18.75">
      <c r="A54" s="1" t="s">
        <v>28</v>
      </c>
      <c r="B54" s="1"/>
      <c r="C54" s="1" t="s">
        <v>462</v>
      </c>
      <c r="D54" s="2"/>
      <c r="E54" s="43" t="s">
        <v>462</v>
      </c>
      <c r="F54" s="41">
        <v>24.84</v>
      </c>
      <c r="G54" s="41">
        <v>13.34</v>
      </c>
      <c r="H54" s="41">
        <v>15.6</v>
      </c>
      <c r="I54" s="41">
        <v>12.5</v>
      </c>
      <c r="J54" s="41">
        <v>21.78</v>
      </c>
      <c r="K54" s="41">
        <v>19.9</v>
      </c>
      <c r="L54" s="2"/>
      <c r="M54" s="2"/>
      <c r="N54" s="2"/>
      <c r="O54" s="2"/>
    </row>
    <row x14ac:dyDescent="0.25" r="55" customHeight="1" ht="18.75">
      <c r="A55" s="1" t="s">
        <v>28</v>
      </c>
      <c r="B55" s="1"/>
      <c r="C55" s="1" t="s">
        <v>463</v>
      </c>
      <c r="D55" s="2"/>
      <c r="E55" s="43" t="s">
        <v>463</v>
      </c>
      <c r="F55" s="41">
        <v>25.74</v>
      </c>
      <c r="G55" s="41">
        <v>13.74</v>
      </c>
      <c r="H55" s="41">
        <v>15.74</v>
      </c>
      <c r="I55" s="41">
        <v>13.18</v>
      </c>
      <c r="J55" s="41">
        <v>21.38</v>
      </c>
      <c r="K55" s="41">
        <v>19.9</v>
      </c>
      <c r="L55" s="2"/>
      <c r="M55" s="2"/>
      <c r="N55" s="2"/>
      <c r="O55" s="2"/>
    </row>
    <row x14ac:dyDescent="0.25" r="56" customHeight="1" ht="18.75">
      <c r="A56" s="1" t="s">
        <v>28</v>
      </c>
      <c r="B56" s="1"/>
      <c r="C56" s="1" t="s">
        <v>464</v>
      </c>
      <c r="D56" s="2"/>
      <c r="E56" s="43" t="s">
        <v>464</v>
      </c>
      <c r="F56" s="41">
        <v>26.77</v>
      </c>
      <c r="G56" s="41">
        <v>13.46</v>
      </c>
      <c r="H56" s="41">
        <v>15.64</v>
      </c>
      <c r="I56" s="41">
        <v>12.69</v>
      </c>
      <c r="J56" s="41">
        <v>20.03</v>
      </c>
      <c r="K56" s="41">
        <v>17.4</v>
      </c>
      <c r="L56" s="2"/>
      <c r="M56" s="2"/>
      <c r="N56" s="2"/>
      <c r="O56" s="2"/>
    </row>
    <row x14ac:dyDescent="0.25" r="57" customHeight="1" ht="18.75">
      <c r="A57" s="1" t="s">
        <v>28</v>
      </c>
      <c r="B57" s="1"/>
      <c r="C57" s="1" t="s">
        <v>465</v>
      </c>
      <c r="D57" s="2"/>
      <c r="E57" s="43" t="s">
        <v>465</v>
      </c>
      <c r="F57" s="41">
        <v>26.55</v>
      </c>
      <c r="G57" s="41">
        <v>13.52</v>
      </c>
      <c r="H57" s="41">
        <v>15.6</v>
      </c>
      <c r="I57" s="41">
        <v>12.55</v>
      </c>
      <c r="J57" s="41">
        <v>19.81</v>
      </c>
      <c r="K57" s="41">
        <v>17.3</v>
      </c>
      <c r="L57" s="2"/>
      <c r="M57" s="2"/>
      <c r="N57" s="2"/>
      <c r="O57" s="2"/>
    </row>
    <row x14ac:dyDescent="0.25" r="58" customHeight="1" ht="18.75">
      <c r="A58" s="1" t="s">
        <v>28</v>
      </c>
      <c r="B58" s="1"/>
      <c r="C58" s="1" t="s">
        <v>466</v>
      </c>
      <c r="D58" s="2"/>
      <c r="E58" s="43" t="s">
        <v>466</v>
      </c>
      <c r="F58" s="41">
        <v>26.82</v>
      </c>
      <c r="G58" s="41">
        <v>13.63</v>
      </c>
      <c r="H58" s="41">
        <v>15.43</v>
      </c>
      <c r="I58" s="41">
        <v>12.16</v>
      </c>
      <c r="J58" s="41">
        <v>18.98</v>
      </c>
      <c r="K58" s="41">
        <v>16.8</v>
      </c>
      <c r="L58" s="2"/>
      <c r="M58" s="2"/>
      <c r="N58" s="2"/>
      <c r="O58" s="2"/>
    </row>
    <row x14ac:dyDescent="0.25" r="59" customHeight="1" ht="18.75">
      <c r="A59" s="1" t="s">
        <v>28</v>
      </c>
      <c r="B59" s="1"/>
      <c r="C59" s="1" t="s">
        <v>467</v>
      </c>
      <c r="D59" s="2"/>
      <c r="E59" s="43" t="s">
        <v>467</v>
      </c>
      <c r="F59" s="41">
        <v>27.52</v>
      </c>
      <c r="G59" s="41">
        <v>13.43</v>
      </c>
      <c r="H59" s="41">
        <v>15.75</v>
      </c>
      <c r="I59" s="41">
        <v>14.24</v>
      </c>
      <c r="J59" s="41">
        <v>23.68</v>
      </c>
      <c r="K59" s="41">
        <v>16.4</v>
      </c>
      <c r="L59" s="2"/>
      <c r="M59" s="2"/>
      <c r="N59" s="2"/>
      <c r="O59" s="2"/>
    </row>
    <row x14ac:dyDescent="0.25" r="60" customHeight="1" ht="18.75">
      <c r="A60" s="1" t="s">
        <v>28</v>
      </c>
      <c r="B60" s="1"/>
      <c r="C60" s="1" t="s">
        <v>468</v>
      </c>
      <c r="D60" s="2"/>
      <c r="E60" s="43" t="s">
        <v>468</v>
      </c>
      <c r="F60" s="41">
        <v>27.35</v>
      </c>
      <c r="G60" s="41">
        <v>13.86</v>
      </c>
      <c r="H60" s="41">
        <v>16.09</v>
      </c>
      <c r="I60" s="41">
        <v>13.9</v>
      </c>
      <c r="J60" s="41">
        <v>24.14</v>
      </c>
      <c r="K60" s="41">
        <v>16.7</v>
      </c>
      <c r="L60" s="2"/>
      <c r="M60" s="2"/>
      <c r="N60" s="2"/>
      <c r="O60" s="2"/>
    </row>
    <row x14ac:dyDescent="0.25" r="61" customHeight="1" ht="18.75">
      <c r="A61" s="1" t="s">
        <v>28</v>
      </c>
      <c r="B61" s="1"/>
      <c r="C61" s="1" t="s">
        <v>469</v>
      </c>
      <c r="D61" s="2"/>
      <c r="E61" s="43" t="s">
        <v>469</v>
      </c>
      <c r="F61" s="41">
        <v>28.44</v>
      </c>
      <c r="G61" s="41">
        <v>13.8</v>
      </c>
      <c r="H61" s="41">
        <v>16.72</v>
      </c>
      <c r="I61" s="41">
        <v>14.08</v>
      </c>
      <c r="J61" s="41">
        <v>24.47</v>
      </c>
      <c r="K61" s="41">
        <v>16.5</v>
      </c>
      <c r="L61" s="2"/>
      <c r="M61" s="2"/>
      <c r="N61" s="2"/>
      <c r="O61" s="2"/>
    </row>
    <row x14ac:dyDescent="0.25" r="62" customHeight="1" ht="18.75">
      <c r="A62" s="1" t="s">
        <v>28</v>
      </c>
      <c r="B62" s="1"/>
      <c r="C62" s="1" t="s">
        <v>75</v>
      </c>
      <c r="D62" s="2"/>
      <c r="E62" s="43" t="s">
        <v>75</v>
      </c>
      <c r="F62" s="41">
        <v>27.76</v>
      </c>
      <c r="G62" s="41">
        <v>13.56</v>
      </c>
      <c r="H62" s="41">
        <v>16.77</v>
      </c>
      <c r="I62" s="41">
        <v>14.23</v>
      </c>
      <c r="J62" s="48">
        <v>24</v>
      </c>
      <c r="K62" s="41">
        <v>17.2</v>
      </c>
      <c r="L62" s="2"/>
      <c r="M62" s="2"/>
      <c r="N62" s="2"/>
      <c r="O62" s="2"/>
    </row>
    <row x14ac:dyDescent="0.25" r="63" customHeight="1" ht="18.75">
      <c r="A63" s="1" t="s">
        <v>28</v>
      </c>
      <c r="B63" s="1"/>
      <c r="C63" s="1" t="s">
        <v>470</v>
      </c>
      <c r="D63" s="2"/>
      <c r="E63" s="43" t="s">
        <v>470</v>
      </c>
      <c r="F63" s="41">
        <v>27.47</v>
      </c>
      <c r="G63" s="41">
        <v>14.33</v>
      </c>
      <c r="H63" s="41">
        <v>18.52</v>
      </c>
      <c r="I63" s="41">
        <v>13.84</v>
      </c>
      <c r="J63" s="41">
        <v>23.61</v>
      </c>
      <c r="K63" s="41">
        <v>17.2</v>
      </c>
      <c r="L63" s="2"/>
      <c r="M63" s="2"/>
      <c r="N63" s="2"/>
      <c r="O63" s="2"/>
    </row>
    <row x14ac:dyDescent="0.25" r="64" customHeight="1" ht="18.75">
      <c r="A64" s="1" t="s">
        <v>28</v>
      </c>
      <c r="B64" s="1"/>
      <c r="C64" s="1" t="s">
        <v>471</v>
      </c>
      <c r="D64" s="2"/>
      <c r="E64" s="43" t="s">
        <v>471</v>
      </c>
      <c r="F64" s="41">
        <v>26.73</v>
      </c>
      <c r="G64" s="41">
        <v>14.49</v>
      </c>
      <c r="H64" s="41">
        <v>18.11</v>
      </c>
      <c r="I64" s="41">
        <v>14.07</v>
      </c>
      <c r="J64" s="41">
        <v>24.88</v>
      </c>
      <c r="K64" s="41">
        <v>16.6</v>
      </c>
      <c r="L64" s="2"/>
      <c r="M64" s="2"/>
      <c r="N64" s="2"/>
      <c r="O64" s="2"/>
    </row>
    <row x14ac:dyDescent="0.25" r="65" customHeight="1" ht="18.75">
      <c r="A65" s="1" t="s">
        <v>28</v>
      </c>
      <c r="B65" s="1"/>
      <c r="C65" s="1" t="s">
        <v>472</v>
      </c>
      <c r="D65" s="2"/>
      <c r="E65" s="43" t="s">
        <v>472</v>
      </c>
      <c r="F65" s="41">
        <v>25.14</v>
      </c>
      <c r="G65" s="41">
        <v>15.13</v>
      </c>
      <c r="H65" s="41">
        <v>17.4</v>
      </c>
      <c r="I65" s="41">
        <v>14.19</v>
      </c>
      <c r="J65" s="41">
        <v>24.78</v>
      </c>
      <c r="K65" s="41">
        <v>16.4</v>
      </c>
      <c r="L65" s="2"/>
      <c r="M65" s="2"/>
      <c r="N65" s="2"/>
      <c r="O65" s="2"/>
    </row>
    <row x14ac:dyDescent="0.25" r="66" customHeight="1" ht="18.75">
      <c r="A66" s="1" t="s">
        <v>28</v>
      </c>
      <c r="B66" s="1"/>
      <c r="C66" s="1" t="s">
        <v>473</v>
      </c>
      <c r="D66" s="2"/>
      <c r="E66" s="43" t="s">
        <v>473</v>
      </c>
      <c r="F66" s="41">
        <v>24.48</v>
      </c>
      <c r="G66" s="41">
        <v>14.91</v>
      </c>
      <c r="H66" s="41">
        <v>17.4</v>
      </c>
      <c r="I66" s="41">
        <v>13.93</v>
      </c>
      <c r="J66" s="41">
        <v>24.11</v>
      </c>
      <c r="K66" s="41">
        <v>16.5</v>
      </c>
      <c r="L66" s="2"/>
      <c r="M66" s="2"/>
      <c r="N66" s="2"/>
      <c r="O66" s="2"/>
    </row>
    <row x14ac:dyDescent="0.25" r="67" customHeight="1" ht="18.75">
      <c r="A67" s="2"/>
      <c r="B67" s="2"/>
      <c r="C67" s="2"/>
      <c r="D67" s="2"/>
      <c r="E67" s="43"/>
      <c r="F67" s="30"/>
      <c r="G67" s="30"/>
      <c r="H67" s="30"/>
      <c r="I67" s="30"/>
      <c r="J67" s="30"/>
      <c r="K67" s="30"/>
      <c r="L67" s="2"/>
      <c r="M67" s="2"/>
      <c r="N67" s="2"/>
      <c r="O67" s="2"/>
    </row>
    <row x14ac:dyDescent="0.25" r="68" customHeight="1" ht="18.75">
      <c r="A68" s="1"/>
      <c r="B68" s="1"/>
      <c r="C68" s="1"/>
      <c r="D68" s="2"/>
      <c r="E68" s="2"/>
      <c r="F68" s="30"/>
      <c r="G68" s="30"/>
      <c r="H68" s="30"/>
      <c r="I68" s="30"/>
      <c r="J68" s="30"/>
      <c r="K68" s="30"/>
      <c r="L68" s="2"/>
      <c r="M68" s="3"/>
      <c r="N68" s="2"/>
      <c r="O68" s="2"/>
    </row>
    <row x14ac:dyDescent="0.25" r="69" customHeight="1" ht="18.75">
      <c r="A69" s="1"/>
      <c r="B69" s="1"/>
      <c r="C69" s="1"/>
      <c r="D69" s="2"/>
      <c r="E69" s="2"/>
      <c r="F69" s="30"/>
      <c r="G69" s="30"/>
      <c r="H69" s="30"/>
      <c r="I69" s="30"/>
      <c r="J69" s="30"/>
      <c r="K69" s="30"/>
      <c r="L69" s="2"/>
      <c r="M69" s="2"/>
      <c r="N69" s="2"/>
      <c r="O69" s="2"/>
    </row>
    <row x14ac:dyDescent="0.25" r="70" customHeight="1" ht="18.75">
      <c r="A70" s="2"/>
      <c r="B70" s="2"/>
      <c r="C70" s="2"/>
      <c r="D70" s="2"/>
      <c r="E70" s="2"/>
      <c r="F70" s="30"/>
      <c r="G70" s="30"/>
      <c r="H70" s="30"/>
      <c r="I70" s="30"/>
      <c r="J70" s="30"/>
      <c r="K70" s="30"/>
      <c r="L70" s="2"/>
      <c r="M70" s="2"/>
      <c r="N70" s="2"/>
      <c r="O7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M153"/>
  <sheetViews>
    <sheetView workbookViewId="0">
      <pane state="frozen" activePane="bottomLeft" topLeftCell="A3" ySplit="2" xSplit="0"/>
    </sheetView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13.576428571428572" customWidth="1" bestFit="1"/>
    <col min="6" max="6" style="37" width="13.576428571428572" customWidth="1" bestFit="1"/>
    <col min="7" max="7" style="35" width="13.576428571428572" customWidth="1" bestFit="1"/>
    <col min="8" max="8" style="35" width="13.576428571428572" customWidth="1" bestFit="1"/>
    <col min="9" max="9" style="35" width="13.576428571428572" customWidth="1" bestFit="1"/>
    <col min="10" max="10" style="35" width="13.576428571428572" customWidth="1" bestFit="1"/>
    <col min="11" max="11" style="34" width="13.576428571428572" customWidth="1" bestFit="1"/>
    <col min="12" max="12" style="37" width="13.576428571428572" customWidth="1" bestFit="1"/>
    <col min="13" max="13" style="34" width="15.719285714285713" customWidth="1" bestFit="1"/>
  </cols>
  <sheetData>
    <row x14ac:dyDescent="0.25" r="1" customHeight="1" ht="18.75">
      <c r="A1" s="1" t="s">
        <v>241</v>
      </c>
      <c r="B1" s="1" t="s">
        <v>1</v>
      </c>
      <c r="C1" s="1" t="s">
        <v>2</v>
      </c>
      <c r="D1" s="2"/>
      <c r="E1" s="43" t="s">
        <v>87</v>
      </c>
      <c r="F1" s="49" t="s">
        <v>88</v>
      </c>
      <c r="G1" s="42" t="s">
        <v>89</v>
      </c>
      <c r="H1" s="42" t="s">
        <v>90</v>
      </c>
      <c r="I1" s="42" t="s">
        <v>91</v>
      </c>
      <c r="J1" s="42" t="s">
        <v>92</v>
      </c>
      <c r="K1" s="43" t="s">
        <v>242</v>
      </c>
      <c r="L1" s="48"/>
      <c r="M1" s="9"/>
    </row>
    <row x14ac:dyDescent="0.25" r="2" customHeight="1" ht="18.75">
      <c r="A2" s="1" t="s">
        <v>243</v>
      </c>
      <c r="B2" s="1" t="s">
        <v>11</v>
      </c>
      <c r="C2" s="1" t="s">
        <v>12</v>
      </c>
      <c r="D2" s="2"/>
      <c r="E2" s="43" t="s">
        <v>94</v>
      </c>
      <c r="F2" s="50" t="s">
        <v>95</v>
      </c>
      <c r="G2" s="44" t="s">
        <v>96</v>
      </c>
      <c r="H2" s="44" t="s">
        <v>97</v>
      </c>
      <c r="I2" s="44" t="s">
        <v>98</v>
      </c>
      <c r="J2" s="44" t="s">
        <v>99</v>
      </c>
      <c r="K2" s="48"/>
      <c r="L2" s="11"/>
      <c r="M2" s="9"/>
    </row>
    <row x14ac:dyDescent="0.25" r="3" customHeight="1" ht="18.75">
      <c r="A3" s="1" t="s">
        <v>244</v>
      </c>
      <c r="B3" s="1"/>
      <c r="C3" s="1" t="s">
        <v>245</v>
      </c>
      <c r="D3" s="2"/>
      <c r="E3" s="43" t="s">
        <v>245</v>
      </c>
      <c r="F3" s="41">
        <v>15.5</v>
      </c>
      <c r="G3" s="41">
        <v>15.8</v>
      </c>
      <c r="H3" s="41">
        <v>14.1</v>
      </c>
      <c r="I3" s="41">
        <v>15.1</v>
      </c>
      <c r="J3" s="41">
        <v>19.7</v>
      </c>
      <c r="K3" s="43" t="s">
        <v>246</v>
      </c>
      <c r="L3" s="11"/>
      <c r="M3" s="51">
        <f>LEFT(E3,6)&amp;"數值"</f>
      </c>
    </row>
    <row x14ac:dyDescent="0.25" r="4" customHeight="1" ht="18.75">
      <c r="A4" s="1" t="s">
        <v>247</v>
      </c>
      <c r="B4" s="1"/>
      <c r="C4" s="1" t="s">
        <v>248</v>
      </c>
      <c r="D4" s="2"/>
      <c r="E4" s="43" t="s">
        <v>248</v>
      </c>
      <c r="F4" s="41">
        <v>15.4</v>
      </c>
      <c r="G4" s="41">
        <v>15.5</v>
      </c>
      <c r="H4" s="41">
        <v>14.4</v>
      </c>
      <c r="I4" s="41">
        <v>14.8</v>
      </c>
      <c r="J4" s="41">
        <v>20.3</v>
      </c>
      <c r="K4" s="43" t="s">
        <v>246</v>
      </c>
      <c r="L4" s="11"/>
      <c r="M4" s="51">
        <f>LEFT(E4,6)&amp;"數值"</f>
      </c>
    </row>
    <row x14ac:dyDescent="0.25" r="5" customHeight="1" ht="18.75">
      <c r="A5" s="1" t="s">
        <v>247</v>
      </c>
      <c r="B5" s="1"/>
      <c r="C5" s="1" t="s">
        <v>249</v>
      </c>
      <c r="D5" s="2"/>
      <c r="E5" s="43" t="s">
        <v>249</v>
      </c>
      <c r="F5" s="41">
        <v>15.8</v>
      </c>
      <c r="G5" s="41">
        <v>15.9</v>
      </c>
      <c r="H5" s="48">
        <v>15</v>
      </c>
      <c r="I5" s="41">
        <v>15.3</v>
      </c>
      <c r="J5" s="41">
        <v>20.6</v>
      </c>
      <c r="K5" s="43" t="s">
        <v>246</v>
      </c>
      <c r="L5" s="11"/>
      <c r="M5" s="51">
        <f>LEFT(E5,6)&amp;"數值"</f>
      </c>
    </row>
    <row x14ac:dyDescent="0.25" r="6" customHeight="1" ht="18.75">
      <c r="A6" s="1" t="s">
        <v>247</v>
      </c>
      <c r="B6" s="1"/>
      <c r="C6" s="1" t="s">
        <v>250</v>
      </c>
      <c r="D6" s="2"/>
      <c r="E6" s="43" t="s">
        <v>250</v>
      </c>
      <c r="F6" s="41">
        <v>16.2</v>
      </c>
      <c r="G6" s="41">
        <v>16.1</v>
      </c>
      <c r="H6" s="41">
        <v>15.8</v>
      </c>
      <c r="I6" s="41">
        <v>15.3</v>
      </c>
      <c r="J6" s="48">
        <v>21</v>
      </c>
      <c r="K6" s="43" t="s">
        <v>246</v>
      </c>
      <c r="L6" s="11"/>
      <c r="M6" s="51">
        <f>LEFT(E6,6)&amp;"數值"</f>
      </c>
    </row>
    <row x14ac:dyDescent="0.25" r="7" customHeight="1" ht="18.75">
      <c r="A7" s="1" t="s">
        <v>247</v>
      </c>
      <c r="B7" s="1"/>
      <c r="C7" s="1" t="s">
        <v>251</v>
      </c>
      <c r="D7" s="2"/>
      <c r="E7" s="43" t="s">
        <v>251</v>
      </c>
      <c r="F7" s="41">
        <v>15.4</v>
      </c>
      <c r="G7" s="41">
        <v>15.5</v>
      </c>
      <c r="H7" s="41">
        <v>14.7</v>
      </c>
      <c r="I7" s="41">
        <v>15.8</v>
      </c>
      <c r="J7" s="41">
        <v>19.4</v>
      </c>
      <c r="K7" s="43" t="s">
        <v>246</v>
      </c>
      <c r="L7" s="11"/>
      <c r="M7" s="51">
        <f>LEFT(E7,6)&amp;"數值"</f>
      </c>
    </row>
    <row x14ac:dyDescent="0.25" r="8" customHeight="1" ht="18.75">
      <c r="A8" s="1" t="s">
        <v>247</v>
      </c>
      <c r="B8" s="1"/>
      <c r="C8" s="1" t="s">
        <v>252</v>
      </c>
      <c r="D8" s="2"/>
      <c r="E8" s="43" t="s">
        <v>252</v>
      </c>
      <c r="F8" s="41">
        <v>15.6</v>
      </c>
      <c r="G8" s="41">
        <v>15.3</v>
      </c>
      <c r="H8" s="41">
        <v>15.3</v>
      </c>
      <c r="I8" s="41">
        <v>15.2</v>
      </c>
      <c r="J8" s="41">
        <v>19.9</v>
      </c>
      <c r="K8" s="43" t="s">
        <v>246</v>
      </c>
      <c r="L8" s="11"/>
      <c r="M8" s="51">
        <f>LEFT(E8,6)&amp;"數值"</f>
      </c>
    </row>
    <row x14ac:dyDescent="0.25" r="9" customHeight="1" ht="18.75">
      <c r="A9" s="1" t="s">
        <v>247</v>
      </c>
      <c r="B9" s="1"/>
      <c r="C9" s="1" t="s">
        <v>253</v>
      </c>
      <c r="D9" s="2"/>
      <c r="E9" s="43" t="s">
        <v>253</v>
      </c>
      <c r="F9" s="41">
        <v>15.6</v>
      </c>
      <c r="G9" s="41">
        <v>15.3</v>
      </c>
      <c r="H9" s="41">
        <v>15.4</v>
      </c>
      <c r="I9" s="41">
        <v>15.5</v>
      </c>
      <c r="J9" s="41">
        <v>19.6</v>
      </c>
      <c r="K9" s="43" t="s">
        <v>246</v>
      </c>
      <c r="L9" s="11"/>
      <c r="M9" s="51">
        <f>LEFT(E9,6)&amp;"數值"</f>
      </c>
    </row>
    <row x14ac:dyDescent="0.25" r="10" customHeight="1" ht="18.75">
      <c r="A10" s="1" t="s">
        <v>247</v>
      </c>
      <c r="B10" s="1"/>
      <c r="C10" s="1" t="s">
        <v>254</v>
      </c>
      <c r="D10" s="2"/>
      <c r="E10" s="43" t="s">
        <v>254</v>
      </c>
      <c r="F10" s="48">
        <v>16</v>
      </c>
      <c r="G10" s="41">
        <v>15.4</v>
      </c>
      <c r="H10" s="41">
        <v>16.4</v>
      </c>
      <c r="I10" s="41">
        <v>14.5</v>
      </c>
      <c r="J10" s="41">
        <v>21.1</v>
      </c>
      <c r="K10" s="43" t="s">
        <v>246</v>
      </c>
      <c r="L10" s="11"/>
      <c r="M10" s="51">
        <f>LEFT(E10,6)&amp;"數值"</f>
      </c>
    </row>
    <row x14ac:dyDescent="0.25" r="11" customHeight="1" ht="18.75">
      <c r="A11" s="1" t="s">
        <v>247</v>
      </c>
      <c r="B11" s="1"/>
      <c r="C11" s="1" t="s">
        <v>255</v>
      </c>
      <c r="D11" s="2"/>
      <c r="E11" s="43" t="s">
        <v>255</v>
      </c>
      <c r="F11" s="41">
        <v>16.8</v>
      </c>
      <c r="G11" s="41">
        <v>16.2</v>
      </c>
      <c r="H11" s="41">
        <v>17.1</v>
      </c>
      <c r="I11" s="48">
        <v>15</v>
      </c>
      <c r="J11" s="41">
        <v>22.7</v>
      </c>
      <c r="K11" s="43" t="s">
        <v>246</v>
      </c>
      <c r="L11" s="11"/>
      <c r="M11" s="51">
        <f>LEFT(E11,6)&amp;"數值"</f>
      </c>
    </row>
    <row x14ac:dyDescent="0.25" r="12" customHeight="1" ht="18.75">
      <c r="A12" s="1" t="s">
        <v>247</v>
      </c>
      <c r="B12" s="1"/>
      <c r="C12" s="1" t="s">
        <v>256</v>
      </c>
      <c r="D12" s="2"/>
      <c r="E12" s="43" t="s">
        <v>256</v>
      </c>
      <c r="F12" s="41">
        <v>16.2</v>
      </c>
      <c r="G12" s="41">
        <v>16.1</v>
      </c>
      <c r="H12" s="41">
        <v>16.8</v>
      </c>
      <c r="I12" s="41">
        <v>14.7</v>
      </c>
      <c r="J12" s="41">
        <v>21.5</v>
      </c>
      <c r="K12" s="43" t="s">
        <v>246</v>
      </c>
      <c r="L12" s="11"/>
      <c r="M12" s="51">
        <f>LEFT(E12,6)&amp;"數值"</f>
      </c>
    </row>
    <row x14ac:dyDescent="0.25" r="13" customHeight="1" ht="18.75">
      <c r="A13" s="1" t="s">
        <v>247</v>
      </c>
      <c r="B13" s="1"/>
      <c r="C13" s="1" t="s">
        <v>257</v>
      </c>
      <c r="D13" s="2"/>
      <c r="E13" s="43" t="s">
        <v>257</v>
      </c>
      <c r="F13" s="41">
        <v>16.3</v>
      </c>
      <c r="G13" s="41">
        <v>16.9</v>
      </c>
      <c r="H13" s="41">
        <v>15.6</v>
      </c>
      <c r="I13" s="41">
        <v>15.6</v>
      </c>
      <c r="J13" s="41">
        <v>23.8</v>
      </c>
      <c r="K13" s="43" t="s">
        <v>246</v>
      </c>
      <c r="L13" s="11"/>
      <c r="M13" s="51">
        <f>LEFT(E13,6)&amp;"數值"</f>
      </c>
    </row>
    <row x14ac:dyDescent="0.25" r="14" customHeight="1" ht="18.75">
      <c r="A14" s="1" t="s">
        <v>247</v>
      </c>
      <c r="B14" s="1"/>
      <c r="C14" s="1" t="s">
        <v>258</v>
      </c>
      <c r="D14" s="2"/>
      <c r="E14" s="43" t="s">
        <v>258</v>
      </c>
      <c r="F14" s="41">
        <v>14.6</v>
      </c>
      <c r="G14" s="41">
        <v>14.7</v>
      </c>
      <c r="H14" s="48">
        <v>15</v>
      </c>
      <c r="I14" s="41">
        <v>14.6</v>
      </c>
      <c r="J14" s="41">
        <v>19.7</v>
      </c>
      <c r="K14" s="43" t="s">
        <v>246</v>
      </c>
      <c r="L14" s="11"/>
      <c r="M14" s="51">
        <f>LEFT(E14,6)&amp;"數值"</f>
      </c>
    </row>
    <row x14ac:dyDescent="0.25" r="15" customHeight="1" ht="18.75">
      <c r="A15" s="1" t="s">
        <v>247</v>
      </c>
      <c r="B15" s="1"/>
      <c r="C15" s="1" t="s">
        <v>259</v>
      </c>
      <c r="D15" s="2"/>
      <c r="E15" s="43" t="s">
        <v>259</v>
      </c>
      <c r="F15" s="41">
        <v>15.1</v>
      </c>
      <c r="G15" s="41">
        <v>14.8</v>
      </c>
      <c r="H15" s="41">
        <v>15.6</v>
      </c>
      <c r="I15" s="41">
        <v>14.7</v>
      </c>
      <c r="J15" s="41">
        <v>21.5</v>
      </c>
      <c r="K15" s="43" t="s">
        <v>246</v>
      </c>
      <c r="L15" s="11"/>
      <c r="M15" s="51">
        <f>LEFT(E15,6)&amp;"數值"</f>
      </c>
    </row>
    <row x14ac:dyDescent="0.25" r="16" customHeight="1" ht="18.75">
      <c r="A16" s="1" t="s">
        <v>247</v>
      </c>
      <c r="B16" s="1"/>
      <c r="C16" s="1" t="s">
        <v>260</v>
      </c>
      <c r="D16" s="2"/>
      <c r="E16" s="43" t="s">
        <v>260</v>
      </c>
      <c r="F16" s="41">
        <v>15.4</v>
      </c>
      <c r="G16" s="41">
        <v>14.9</v>
      </c>
      <c r="H16" s="48">
        <v>16</v>
      </c>
      <c r="I16" s="41">
        <v>13.9</v>
      </c>
      <c r="J16" s="41">
        <v>21.9</v>
      </c>
      <c r="K16" s="43" t="s">
        <v>246</v>
      </c>
      <c r="L16" s="11"/>
      <c r="M16" s="51">
        <f>LEFT(E16,6)&amp;"數值"</f>
      </c>
    </row>
    <row x14ac:dyDescent="0.25" r="17" customHeight="1" ht="18.75">
      <c r="A17" s="1" t="s">
        <v>247</v>
      </c>
      <c r="B17" s="1"/>
      <c r="C17" s="1" t="s">
        <v>261</v>
      </c>
      <c r="D17" s="2"/>
      <c r="E17" s="43" t="s">
        <v>261</v>
      </c>
      <c r="F17" s="41">
        <v>15.2</v>
      </c>
      <c r="G17" s="41">
        <v>14.8</v>
      </c>
      <c r="H17" s="41">
        <v>15.7</v>
      </c>
      <c r="I17" s="41">
        <v>14.1</v>
      </c>
      <c r="J17" s="41">
        <v>20.8</v>
      </c>
      <c r="K17" s="43" t="s">
        <v>246</v>
      </c>
      <c r="L17" s="11"/>
      <c r="M17" s="51">
        <f>LEFT(E17,6)&amp;"數值"</f>
      </c>
    </row>
    <row x14ac:dyDescent="0.25" r="18" customHeight="1" ht="18.75">
      <c r="A18" s="1" t="s">
        <v>247</v>
      </c>
      <c r="B18" s="1"/>
      <c r="C18" s="1" t="s">
        <v>262</v>
      </c>
      <c r="D18" s="2"/>
      <c r="E18" s="43" t="s">
        <v>262</v>
      </c>
      <c r="F18" s="41">
        <v>15.4</v>
      </c>
      <c r="G18" s="41">
        <v>14.9</v>
      </c>
      <c r="H18" s="41">
        <v>16.6</v>
      </c>
      <c r="I18" s="41">
        <v>14.7</v>
      </c>
      <c r="J18" s="41">
        <v>21.9</v>
      </c>
      <c r="K18" s="43" t="s">
        <v>246</v>
      </c>
      <c r="L18" s="11"/>
      <c r="M18" s="51">
        <f>LEFT(E18,6)&amp;"數值"</f>
      </c>
    </row>
    <row x14ac:dyDescent="0.25" r="19" customHeight="1" ht="18.75">
      <c r="A19" s="1" t="s">
        <v>247</v>
      </c>
      <c r="B19" s="1"/>
      <c r="C19" s="1" t="s">
        <v>263</v>
      </c>
      <c r="D19" s="2"/>
      <c r="E19" s="43" t="s">
        <v>263</v>
      </c>
      <c r="F19" s="48">
        <v>16</v>
      </c>
      <c r="G19" s="41">
        <v>15.5</v>
      </c>
      <c r="H19" s="41">
        <v>16.9</v>
      </c>
      <c r="I19" s="41">
        <v>15.1</v>
      </c>
      <c r="J19" s="41">
        <v>21.6</v>
      </c>
      <c r="K19" s="43" t="s">
        <v>246</v>
      </c>
      <c r="L19" s="11"/>
      <c r="M19" s="51">
        <f>LEFT(E19,6)&amp;"數值"</f>
      </c>
    </row>
    <row x14ac:dyDescent="0.25" r="20" customHeight="1" ht="18.75">
      <c r="A20" s="1" t="s">
        <v>247</v>
      </c>
      <c r="B20" s="1"/>
      <c r="C20" s="1" t="s">
        <v>264</v>
      </c>
      <c r="D20" s="2"/>
      <c r="E20" s="43" t="s">
        <v>264</v>
      </c>
      <c r="F20" s="41">
        <v>15.4</v>
      </c>
      <c r="G20" s="41">
        <v>14.8</v>
      </c>
      <c r="H20" s="41">
        <v>16.7</v>
      </c>
      <c r="I20" s="41">
        <v>14.7</v>
      </c>
      <c r="J20" s="41">
        <v>20.4</v>
      </c>
      <c r="K20" s="43" t="s">
        <v>246</v>
      </c>
      <c r="L20" s="11"/>
      <c r="M20" s="51">
        <f>LEFT(E20,6)&amp;"數值"</f>
      </c>
    </row>
    <row x14ac:dyDescent="0.25" r="21" customHeight="1" ht="18.75">
      <c r="A21" s="1" t="s">
        <v>247</v>
      </c>
      <c r="B21" s="1"/>
      <c r="C21" s="1" t="s">
        <v>265</v>
      </c>
      <c r="D21" s="2"/>
      <c r="E21" s="43" t="s">
        <v>265</v>
      </c>
      <c r="F21" s="41">
        <v>15.6</v>
      </c>
      <c r="G21" s="41">
        <v>14.9</v>
      </c>
      <c r="H21" s="41">
        <v>17.1</v>
      </c>
      <c r="I21" s="41">
        <v>15.1</v>
      </c>
      <c r="J21" s="41">
        <v>19.8</v>
      </c>
      <c r="K21" s="43" t="s">
        <v>246</v>
      </c>
      <c r="L21" s="11"/>
      <c r="M21" s="51">
        <f>LEFT(E21,6)&amp;"數值"</f>
      </c>
    </row>
    <row x14ac:dyDescent="0.25" r="22" customHeight="1" ht="18.75">
      <c r="A22" s="1" t="s">
        <v>247</v>
      </c>
      <c r="B22" s="1"/>
      <c r="C22" s="1" t="s">
        <v>266</v>
      </c>
      <c r="D22" s="2"/>
      <c r="E22" s="43" t="s">
        <v>266</v>
      </c>
      <c r="F22" s="41">
        <v>14.9</v>
      </c>
      <c r="G22" s="41">
        <v>13.9</v>
      </c>
      <c r="H22" s="41">
        <v>15.8</v>
      </c>
      <c r="I22" s="48">
        <v>14</v>
      </c>
      <c r="J22" s="41">
        <v>20.6</v>
      </c>
      <c r="K22" s="43" t="s">
        <v>246</v>
      </c>
      <c r="L22" s="11"/>
      <c r="M22" s="51">
        <f>LEFT(E22,6)&amp;"數值"</f>
      </c>
    </row>
    <row x14ac:dyDescent="0.25" r="23" customHeight="1" ht="18.75">
      <c r="A23" s="1" t="s">
        <v>247</v>
      </c>
      <c r="B23" s="1"/>
      <c r="C23" s="1" t="s">
        <v>267</v>
      </c>
      <c r="D23" s="2"/>
      <c r="E23" s="43" t="s">
        <v>267</v>
      </c>
      <c r="F23" s="41">
        <v>14.8</v>
      </c>
      <c r="G23" s="41">
        <v>14.1</v>
      </c>
      <c r="H23" s="41">
        <v>15.9</v>
      </c>
      <c r="I23" s="41">
        <v>14.3</v>
      </c>
      <c r="J23" s="41">
        <v>20.3</v>
      </c>
      <c r="K23" s="43" t="s">
        <v>246</v>
      </c>
      <c r="L23" s="11"/>
      <c r="M23" s="51">
        <f>LEFT(E23,6)&amp;"數值"</f>
      </c>
    </row>
    <row x14ac:dyDescent="0.25" r="24" customHeight="1" ht="18.75">
      <c r="A24" s="1" t="s">
        <v>247</v>
      </c>
      <c r="B24" s="1"/>
      <c r="C24" s="1" t="s">
        <v>268</v>
      </c>
      <c r="D24" s="2"/>
      <c r="E24" s="43" t="s">
        <v>268</v>
      </c>
      <c r="F24" s="41">
        <v>14.8</v>
      </c>
      <c r="G24" s="41">
        <v>14.1</v>
      </c>
      <c r="H24" s="41">
        <v>16.2</v>
      </c>
      <c r="I24" s="41">
        <v>14.2</v>
      </c>
      <c r="J24" s="48">
        <v>21</v>
      </c>
      <c r="K24" s="43" t="s">
        <v>246</v>
      </c>
      <c r="L24" s="11"/>
      <c r="M24" s="51">
        <f>LEFT(E24,6)&amp;"數值"</f>
      </c>
    </row>
    <row x14ac:dyDescent="0.25" r="25" customHeight="1" ht="18.75">
      <c r="A25" s="1" t="s">
        <v>247</v>
      </c>
      <c r="B25" s="1"/>
      <c r="C25" s="1" t="s">
        <v>269</v>
      </c>
      <c r="D25" s="2"/>
      <c r="E25" s="43" t="s">
        <v>269</v>
      </c>
      <c r="F25" s="48">
        <v>15</v>
      </c>
      <c r="G25" s="48">
        <v>14</v>
      </c>
      <c r="H25" s="41">
        <v>16.7</v>
      </c>
      <c r="I25" s="41">
        <v>14.6</v>
      </c>
      <c r="J25" s="41">
        <v>23.7</v>
      </c>
      <c r="K25" s="43" t="s">
        <v>246</v>
      </c>
      <c r="L25" s="11"/>
      <c r="M25" s="51">
        <f>LEFT(E25,6)&amp;"數值"</f>
      </c>
    </row>
    <row x14ac:dyDescent="0.25" r="26" customHeight="1" ht="18.75">
      <c r="A26" s="1" t="s">
        <v>247</v>
      </c>
      <c r="B26" s="1"/>
      <c r="C26" s="1" t="s">
        <v>270</v>
      </c>
      <c r="D26" s="2"/>
      <c r="E26" s="43" t="s">
        <v>270</v>
      </c>
      <c r="F26" s="41">
        <v>13.6</v>
      </c>
      <c r="G26" s="41">
        <v>12.7</v>
      </c>
      <c r="H26" s="41">
        <v>14.4</v>
      </c>
      <c r="I26" s="41">
        <v>13.4</v>
      </c>
      <c r="J26" s="41">
        <v>20.7</v>
      </c>
      <c r="K26" s="43" t="s">
        <v>246</v>
      </c>
      <c r="L26" s="11"/>
      <c r="M26" s="51">
        <f>LEFT(E26,6)&amp;"數值"</f>
      </c>
    </row>
    <row x14ac:dyDescent="0.25" r="27" customHeight="1" ht="18.75">
      <c r="A27" s="1" t="s">
        <v>247</v>
      </c>
      <c r="B27" s="1"/>
      <c r="C27" s="1" t="s">
        <v>271</v>
      </c>
      <c r="D27" s="2"/>
      <c r="E27" s="43" t="s">
        <v>271</v>
      </c>
      <c r="F27" s="41">
        <v>13.7</v>
      </c>
      <c r="G27" s="41">
        <v>13.2</v>
      </c>
      <c r="H27" s="41">
        <v>14.2</v>
      </c>
      <c r="I27" s="41">
        <v>13.6</v>
      </c>
      <c r="J27" s="41">
        <v>18.9</v>
      </c>
      <c r="K27" s="43" t="s">
        <v>246</v>
      </c>
      <c r="L27" s="11"/>
      <c r="M27" s="51">
        <f>LEFT(E27,6)&amp;"數值"</f>
      </c>
    </row>
    <row x14ac:dyDescent="0.25" r="28" customHeight="1" ht="18.75">
      <c r="A28" s="1" t="s">
        <v>247</v>
      </c>
      <c r="B28" s="1"/>
      <c r="C28" s="1" t="s">
        <v>272</v>
      </c>
      <c r="D28" s="2"/>
      <c r="E28" s="43" t="s">
        <v>272</v>
      </c>
      <c r="F28" s="41">
        <v>13.5</v>
      </c>
      <c r="G28" s="41">
        <v>13.1</v>
      </c>
      <c r="H28" s="41">
        <v>14.1</v>
      </c>
      <c r="I28" s="41">
        <v>13.9</v>
      </c>
      <c r="J28" s="41">
        <v>19.1</v>
      </c>
      <c r="K28" s="43" t="s">
        <v>246</v>
      </c>
      <c r="L28" s="11"/>
      <c r="M28" s="51">
        <f>LEFT(E28,6)&amp;"數值"</f>
      </c>
    </row>
    <row x14ac:dyDescent="0.25" r="29" customHeight="1" ht="18.75">
      <c r="A29" s="1" t="s">
        <v>247</v>
      </c>
      <c r="B29" s="1"/>
      <c r="C29" s="1" t="s">
        <v>273</v>
      </c>
      <c r="D29" s="2"/>
      <c r="E29" s="43" t="s">
        <v>273</v>
      </c>
      <c r="F29" s="48">
        <v>14</v>
      </c>
      <c r="G29" s="41">
        <v>13.6</v>
      </c>
      <c r="H29" s="41">
        <v>14.1</v>
      </c>
      <c r="I29" s="48">
        <v>14</v>
      </c>
      <c r="J29" s="41">
        <v>20.6</v>
      </c>
      <c r="K29" s="43" t="s">
        <v>246</v>
      </c>
      <c r="L29" s="11"/>
      <c r="M29" s="51">
        <f>LEFT(E29,6)&amp;"數值"</f>
      </c>
    </row>
    <row x14ac:dyDescent="0.25" r="30" customHeight="1" ht="18.75">
      <c r="A30" s="1" t="s">
        <v>247</v>
      </c>
      <c r="B30" s="1"/>
      <c r="C30" s="1" t="s">
        <v>274</v>
      </c>
      <c r="D30" s="2"/>
      <c r="E30" s="43" t="s">
        <v>274</v>
      </c>
      <c r="F30" s="41">
        <v>13.8</v>
      </c>
      <c r="G30" s="41">
        <v>13.4</v>
      </c>
      <c r="H30" s="41">
        <v>13.8</v>
      </c>
      <c r="I30" s="48">
        <v>14</v>
      </c>
      <c r="J30" s="41">
        <v>20.7</v>
      </c>
      <c r="K30" s="43" t="s">
        <v>246</v>
      </c>
      <c r="L30" s="11"/>
      <c r="M30" s="51">
        <f>LEFT(E30,6)&amp;"數值"</f>
      </c>
    </row>
    <row x14ac:dyDescent="0.25" r="31" customHeight="1" ht="18.75">
      <c r="A31" s="1" t="s">
        <v>247</v>
      </c>
      <c r="B31" s="1"/>
      <c r="C31" s="1" t="s">
        <v>275</v>
      </c>
      <c r="D31" s="2"/>
      <c r="E31" s="43" t="s">
        <v>275</v>
      </c>
      <c r="F31" s="41">
        <v>13.5</v>
      </c>
      <c r="G31" s="41">
        <v>13.2</v>
      </c>
      <c r="H31" s="41">
        <v>13.3</v>
      </c>
      <c r="I31" s="41">
        <v>13.8</v>
      </c>
      <c r="J31" s="41">
        <v>21.9</v>
      </c>
      <c r="K31" s="43" t="s">
        <v>246</v>
      </c>
      <c r="L31" s="11"/>
      <c r="M31" s="51">
        <f>LEFT(E31,6)&amp;"數值"</f>
      </c>
    </row>
    <row x14ac:dyDescent="0.25" r="32" customHeight="1" ht="18.75">
      <c r="A32" s="1" t="s">
        <v>247</v>
      </c>
      <c r="B32" s="1"/>
      <c r="C32" s="1" t="s">
        <v>276</v>
      </c>
      <c r="D32" s="2"/>
      <c r="E32" s="43" t="s">
        <v>276</v>
      </c>
      <c r="F32" s="41">
        <v>12.9</v>
      </c>
      <c r="G32" s="41">
        <v>12.7</v>
      </c>
      <c r="H32" s="41">
        <v>12.4</v>
      </c>
      <c r="I32" s="41">
        <v>13.1</v>
      </c>
      <c r="J32" s="41">
        <v>19.6</v>
      </c>
      <c r="K32" s="43" t="s">
        <v>246</v>
      </c>
      <c r="L32" s="11"/>
      <c r="M32" s="51">
        <f>LEFT(E32,6)&amp;"數值"</f>
      </c>
    </row>
    <row x14ac:dyDescent="0.25" r="33" customHeight="1" ht="18.75">
      <c r="A33" s="1" t="s">
        <v>247</v>
      </c>
      <c r="B33" s="1"/>
      <c r="C33" s="1" t="s">
        <v>277</v>
      </c>
      <c r="D33" s="2"/>
      <c r="E33" s="43" t="s">
        <v>277</v>
      </c>
      <c r="F33" s="41">
        <v>12.4</v>
      </c>
      <c r="G33" s="41">
        <v>12.2</v>
      </c>
      <c r="H33" s="41">
        <v>12.1</v>
      </c>
      <c r="I33" s="41">
        <v>12.9</v>
      </c>
      <c r="J33" s="41">
        <v>19.1</v>
      </c>
      <c r="K33" s="43" t="s">
        <v>246</v>
      </c>
      <c r="L33" s="11"/>
      <c r="M33" s="51">
        <f>LEFT(E33,6)&amp;"數值"</f>
      </c>
    </row>
    <row x14ac:dyDescent="0.25" r="34" customHeight="1" ht="18.75">
      <c r="A34" s="1" t="s">
        <v>247</v>
      </c>
      <c r="B34" s="1"/>
      <c r="C34" s="1" t="s">
        <v>278</v>
      </c>
      <c r="D34" s="2"/>
      <c r="E34" s="43" t="s">
        <v>278</v>
      </c>
      <c r="F34" s="41">
        <v>12.9</v>
      </c>
      <c r="G34" s="41">
        <v>12.2</v>
      </c>
      <c r="H34" s="48">
        <v>13</v>
      </c>
      <c r="I34" s="41">
        <v>10.3</v>
      </c>
      <c r="J34" s="41">
        <v>24.9</v>
      </c>
      <c r="K34" s="43" t="s">
        <v>246</v>
      </c>
      <c r="L34" s="11"/>
      <c r="M34" s="51">
        <f>LEFT(E34,6)&amp;"數值"</f>
      </c>
    </row>
    <row x14ac:dyDescent="0.25" r="35" customHeight="1" ht="18.75">
      <c r="A35" s="1" t="s">
        <v>247</v>
      </c>
      <c r="B35" s="1"/>
      <c r="C35" s="1" t="s">
        <v>279</v>
      </c>
      <c r="D35" s="2"/>
      <c r="E35" s="43" t="s">
        <v>279</v>
      </c>
      <c r="F35" s="41">
        <v>13.6</v>
      </c>
      <c r="G35" s="41">
        <v>12.7</v>
      </c>
      <c r="H35" s="41">
        <v>14.2</v>
      </c>
      <c r="I35" s="41">
        <v>11.2</v>
      </c>
      <c r="J35" s="48">
        <v>26</v>
      </c>
      <c r="K35" s="43" t="s">
        <v>246</v>
      </c>
      <c r="L35" s="11"/>
      <c r="M35" s="51">
        <f>LEFT(E35,6)&amp;"數值"</f>
      </c>
    </row>
    <row x14ac:dyDescent="0.25" r="36" customHeight="1" ht="18.75">
      <c r="A36" s="1" t="s">
        <v>247</v>
      </c>
      <c r="B36" s="1"/>
      <c r="C36" s="1" t="s">
        <v>280</v>
      </c>
      <c r="D36" s="2"/>
      <c r="E36" s="43" t="s">
        <v>280</v>
      </c>
      <c r="F36" s="41">
        <v>13.2</v>
      </c>
      <c r="G36" s="41">
        <v>12.2</v>
      </c>
      <c r="H36" s="41">
        <v>14.5</v>
      </c>
      <c r="I36" s="41">
        <v>11.1</v>
      </c>
      <c r="J36" s="41">
        <v>26.8</v>
      </c>
      <c r="K36" s="43" t="s">
        <v>246</v>
      </c>
      <c r="L36" s="11"/>
      <c r="M36" s="51">
        <f>LEFT(E36,6)&amp;"數值"</f>
      </c>
    </row>
    <row x14ac:dyDescent="0.25" r="37" customHeight="1" ht="18.75">
      <c r="A37" s="1" t="s">
        <v>247</v>
      </c>
      <c r="B37" s="1"/>
      <c r="C37" s="1" t="s">
        <v>281</v>
      </c>
      <c r="D37" s="2"/>
      <c r="E37" s="43" t="s">
        <v>281</v>
      </c>
      <c r="F37" s="41">
        <v>13.4</v>
      </c>
      <c r="G37" s="41">
        <v>12.3</v>
      </c>
      <c r="H37" s="41">
        <v>14.6</v>
      </c>
      <c r="I37" s="41">
        <v>11.3</v>
      </c>
      <c r="J37" s="48">
        <v>28</v>
      </c>
      <c r="K37" s="43" t="s">
        <v>246</v>
      </c>
      <c r="L37" s="11"/>
      <c r="M37" s="51">
        <f>LEFT(E37,6)&amp;"數值"</f>
      </c>
    </row>
    <row x14ac:dyDescent="0.25" r="38" customHeight="1" ht="18.75">
      <c r="A38" s="1" t="s">
        <v>247</v>
      </c>
      <c r="B38" s="1"/>
      <c r="C38" s="1" t="s">
        <v>282</v>
      </c>
      <c r="D38" s="2"/>
      <c r="E38" s="43" t="s">
        <v>282</v>
      </c>
      <c r="F38" s="41">
        <v>12.8</v>
      </c>
      <c r="G38" s="41">
        <v>12.2</v>
      </c>
      <c r="H38" s="41">
        <v>13.4</v>
      </c>
      <c r="I38" s="41">
        <v>10.8</v>
      </c>
      <c r="J38" s="41">
        <v>21.6</v>
      </c>
      <c r="K38" s="43" t="s">
        <v>246</v>
      </c>
      <c r="L38" s="11"/>
      <c r="M38" s="51">
        <f>LEFT(E38,6)&amp;"數值"</f>
      </c>
    </row>
    <row x14ac:dyDescent="0.25" r="39" customHeight="1" ht="18.75">
      <c r="A39" s="1" t="s">
        <v>247</v>
      </c>
      <c r="B39" s="1"/>
      <c r="C39" s="1" t="s">
        <v>283</v>
      </c>
      <c r="D39" s="2"/>
      <c r="E39" s="43" t="s">
        <v>283</v>
      </c>
      <c r="F39" s="41">
        <v>13.3</v>
      </c>
      <c r="G39" s="41">
        <v>12.8</v>
      </c>
      <c r="H39" s="48">
        <v>14</v>
      </c>
      <c r="I39" s="41">
        <v>11.3</v>
      </c>
      <c r="J39" s="41">
        <v>21.7</v>
      </c>
      <c r="K39" s="43" t="s">
        <v>246</v>
      </c>
      <c r="L39" s="11"/>
      <c r="M39" s="51">
        <f>LEFT(E39,6)&amp;"數值"</f>
      </c>
    </row>
    <row x14ac:dyDescent="0.25" r="40" customHeight="1" ht="18.75">
      <c r="A40" s="1" t="s">
        <v>247</v>
      </c>
      <c r="B40" s="1"/>
      <c r="C40" s="1" t="s">
        <v>284</v>
      </c>
      <c r="D40" s="2"/>
      <c r="E40" s="43" t="s">
        <v>284</v>
      </c>
      <c r="F40" s="41">
        <v>13.9</v>
      </c>
      <c r="G40" s="41">
        <v>13.5</v>
      </c>
      <c r="H40" s="41">
        <v>14.2</v>
      </c>
      <c r="I40" s="41">
        <v>10.8</v>
      </c>
      <c r="J40" s="48">
        <v>22</v>
      </c>
      <c r="K40" s="43" t="s">
        <v>246</v>
      </c>
      <c r="L40" s="11"/>
      <c r="M40" s="51">
        <f>LEFT(E40,6)&amp;"數值"</f>
      </c>
    </row>
    <row x14ac:dyDescent="0.25" r="41" customHeight="1" ht="18.75">
      <c r="A41" s="1" t="s">
        <v>247</v>
      </c>
      <c r="B41" s="1"/>
      <c r="C41" s="1" t="s">
        <v>285</v>
      </c>
      <c r="D41" s="2"/>
      <c r="E41" s="43" t="s">
        <v>285</v>
      </c>
      <c r="F41" s="41">
        <v>13.6</v>
      </c>
      <c r="G41" s="41">
        <v>13.1</v>
      </c>
      <c r="H41" s="41">
        <v>14.1</v>
      </c>
      <c r="I41" s="41">
        <v>10.6</v>
      </c>
      <c r="J41" s="41">
        <v>21.3</v>
      </c>
      <c r="K41" s="43" t="s">
        <v>246</v>
      </c>
      <c r="L41" s="11"/>
      <c r="M41" s="51">
        <f>LEFT(E41,6)&amp;"數值"</f>
      </c>
    </row>
    <row x14ac:dyDescent="0.25" r="42" customHeight="1" ht="18.75">
      <c r="A42" s="1" t="s">
        <v>247</v>
      </c>
      <c r="B42" s="1"/>
      <c r="C42" s="1" t="s">
        <v>286</v>
      </c>
      <c r="D42" s="2"/>
      <c r="E42" s="43" t="s">
        <v>286</v>
      </c>
      <c r="F42" s="41">
        <v>14.3</v>
      </c>
      <c r="G42" s="41">
        <v>13.6</v>
      </c>
      <c r="H42" s="48">
        <v>15</v>
      </c>
      <c r="I42" s="41">
        <v>11.4</v>
      </c>
      <c r="J42" s="41">
        <v>23.3</v>
      </c>
      <c r="K42" s="43" t="s">
        <v>246</v>
      </c>
      <c r="L42" s="11"/>
      <c r="M42" s="51">
        <f>LEFT(E42,6)&amp;"數值"</f>
      </c>
    </row>
    <row x14ac:dyDescent="0.25" r="43" customHeight="1" ht="18.75">
      <c r="A43" s="1" t="s">
        <v>247</v>
      </c>
      <c r="B43" s="1"/>
      <c r="C43" s="1" t="s">
        <v>287</v>
      </c>
      <c r="D43" s="2"/>
      <c r="E43" s="43" t="s">
        <v>287</v>
      </c>
      <c r="F43" s="41">
        <v>14.6</v>
      </c>
      <c r="G43" s="41">
        <v>13.9</v>
      </c>
      <c r="H43" s="41">
        <v>15.6</v>
      </c>
      <c r="I43" s="41">
        <v>11.6</v>
      </c>
      <c r="J43" s="41">
        <v>23.3</v>
      </c>
      <c r="K43" s="43" t="s">
        <v>246</v>
      </c>
      <c r="L43" s="11"/>
      <c r="M43" s="51">
        <f>LEFT(E43,6)&amp;"數值"</f>
      </c>
    </row>
    <row x14ac:dyDescent="0.25" r="44" customHeight="1" ht="18.75">
      <c r="A44" s="1" t="s">
        <v>247</v>
      </c>
      <c r="B44" s="1"/>
      <c r="C44" s="1" t="s">
        <v>288</v>
      </c>
      <c r="D44" s="2"/>
      <c r="E44" s="43" t="s">
        <v>288</v>
      </c>
      <c r="F44" s="41">
        <v>15.1</v>
      </c>
      <c r="G44" s="41">
        <v>14.3</v>
      </c>
      <c r="H44" s="41">
        <v>16.5</v>
      </c>
      <c r="I44" s="41">
        <v>12.1</v>
      </c>
      <c r="J44" s="41">
        <v>24.3</v>
      </c>
      <c r="K44" s="43" t="s">
        <v>246</v>
      </c>
      <c r="L44" s="11"/>
      <c r="M44" s="51">
        <f>LEFT(E44,6)&amp;"數值"</f>
      </c>
    </row>
    <row x14ac:dyDescent="0.25" r="45" customHeight="1" ht="18.75">
      <c r="A45" s="1" t="s">
        <v>247</v>
      </c>
      <c r="B45" s="1"/>
      <c r="C45" s="1" t="s">
        <v>289</v>
      </c>
      <c r="D45" s="2"/>
      <c r="E45" s="43" t="s">
        <v>289</v>
      </c>
      <c r="F45" s="41">
        <v>15.4</v>
      </c>
      <c r="G45" s="41">
        <v>14.7</v>
      </c>
      <c r="H45" s="41">
        <v>16.9</v>
      </c>
      <c r="I45" s="41">
        <v>11.8</v>
      </c>
      <c r="J45" s="41">
        <v>24.9</v>
      </c>
      <c r="K45" s="43" t="s">
        <v>246</v>
      </c>
      <c r="L45" s="11"/>
      <c r="M45" s="51">
        <f>LEFT(E45,6)&amp;"數值"</f>
      </c>
    </row>
    <row x14ac:dyDescent="0.25" r="46" customHeight="1" ht="18.75">
      <c r="A46" s="1" t="s">
        <v>247</v>
      </c>
      <c r="B46" s="1"/>
      <c r="C46" s="1" t="s">
        <v>290</v>
      </c>
      <c r="D46" s="2"/>
      <c r="E46" s="43" t="s">
        <v>290</v>
      </c>
      <c r="F46" s="41">
        <v>15.6</v>
      </c>
      <c r="G46" s="41">
        <v>14.8</v>
      </c>
      <c r="H46" s="41">
        <v>16.8</v>
      </c>
      <c r="I46" s="41">
        <v>11.8</v>
      </c>
      <c r="J46" s="41">
        <v>25.2</v>
      </c>
      <c r="K46" s="43" t="s">
        <v>246</v>
      </c>
      <c r="L46" s="11"/>
      <c r="M46" s="51">
        <f>LEFT(E46,6)&amp;"數值"</f>
      </c>
    </row>
    <row x14ac:dyDescent="0.25" r="47" customHeight="1" ht="18.75">
      <c r="A47" s="1" t="s">
        <v>247</v>
      </c>
      <c r="B47" s="1"/>
      <c r="C47" s="1" t="s">
        <v>291</v>
      </c>
      <c r="D47" s="2"/>
      <c r="E47" s="43" t="s">
        <v>291</v>
      </c>
      <c r="F47" s="41">
        <v>15.4</v>
      </c>
      <c r="G47" s="41">
        <v>14.7</v>
      </c>
      <c r="H47" s="41">
        <v>16.9</v>
      </c>
      <c r="I47" s="41">
        <v>11.9</v>
      </c>
      <c r="J47" s="41">
        <v>24.9</v>
      </c>
      <c r="K47" s="43" t="s">
        <v>246</v>
      </c>
      <c r="L47" s="11"/>
      <c r="M47" s="51">
        <f>LEFT(E47,6)&amp;"數值"</f>
      </c>
    </row>
    <row x14ac:dyDescent="0.25" r="48" customHeight="1" ht="18.75">
      <c r="A48" s="1" t="s">
        <v>247</v>
      </c>
      <c r="B48" s="1"/>
      <c r="C48" s="1" t="s">
        <v>292</v>
      </c>
      <c r="D48" s="2"/>
      <c r="E48" s="43" t="s">
        <v>292</v>
      </c>
      <c r="F48" s="41">
        <v>15.1</v>
      </c>
      <c r="G48" s="41">
        <v>14.2</v>
      </c>
      <c r="H48" s="41">
        <v>16.7</v>
      </c>
      <c r="I48" s="41">
        <v>11.6</v>
      </c>
      <c r="J48" s="41">
        <v>25.4</v>
      </c>
      <c r="K48" s="43" t="s">
        <v>246</v>
      </c>
      <c r="L48" s="11"/>
      <c r="M48" s="51">
        <f>LEFT(E48,6)&amp;"數值"</f>
      </c>
    </row>
    <row x14ac:dyDescent="0.25" r="49" customHeight="1" ht="18.75">
      <c r="A49" s="1" t="s">
        <v>247</v>
      </c>
      <c r="B49" s="1"/>
      <c r="C49" s="1" t="s">
        <v>293</v>
      </c>
      <c r="D49" s="2"/>
      <c r="E49" s="43" t="s">
        <v>293</v>
      </c>
      <c r="F49" s="41">
        <v>15.1</v>
      </c>
      <c r="G49" s="41">
        <v>14.1</v>
      </c>
      <c r="H49" s="48">
        <v>16</v>
      </c>
      <c r="I49" s="41">
        <v>11.6</v>
      </c>
      <c r="J49" s="41">
        <v>26.2</v>
      </c>
      <c r="K49" s="43" t="s">
        <v>246</v>
      </c>
      <c r="L49" s="11"/>
      <c r="M49" s="51">
        <f>LEFT(E49,6)&amp;"數值"</f>
      </c>
    </row>
    <row x14ac:dyDescent="0.25" r="50" customHeight="1" ht="18.75">
      <c r="A50" s="1" t="s">
        <v>247</v>
      </c>
      <c r="B50" s="1"/>
      <c r="C50" s="1" t="s">
        <v>294</v>
      </c>
      <c r="D50" s="2"/>
      <c r="E50" s="43" t="s">
        <v>294</v>
      </c>
      <c r="F50" s="41">
        <v>14.2</v>
      </c>
      <c r="G50" s="41">
        <v>13.4</v>
      </c>
      <c r="H50" s="41">
        <v>14.8</v>
      </c>
      <c r="I50" s="41">
        <v>11.1</v>
      </c>
      <c r="J50" s="41">
        <v>22.4</v>
      </c>
      <c r="K50" s="43" t="s">
        <v>246</v>
      </c>
      <c r="L50" s="11"/>
      <c r="M50" s="51">
        <f>LEFT(E50,6)&amp;"數值"</f>
      </c>
    </row>
    <row x14ac:dyDescent="0.25" r="51" customHeight="1" ht="18.75">
      <c r="A51" s="1" t="s">
        <v>247</v>
      </c>
      <c r="B51" s="1"/>
      <c r="C51" s="1" t="s">
        <v>295</v>
      </c>
      <c r="D51" s="2"/>
      <c r="E51" s="43" t="s">
        <v>295</v>
      </c>
      <c r="F51" s="41">
        <v>14.6</v>
      </c>
      <c r="G51" s="41">
        <v>13.6</v>
      </c>
      <c r="H51" s="41">
        <v>15.5</v>
      </c>
      <c r="I51" s="41">
        <v>11.5</v>
      </c>
      <c r="J51" s="48">
        <v>24</v>
      </c>
      <c r="K51" s="43" t="s">
        <v>246</v>
      </c>
      <c r="L51" s="11"/>
      <c r="M51" s="51">
        <f>LEFT(E51,6)&amp;"數值"</f>
      </c>
    </row>
    <row x14ac:dyDescent="0.25" r="52" customHeight="1" ht="18.75">
      <c r="A52" s="1" t="s">
        <v>247</v>
      </c>
      <c r="B52" s="1"/>
      <c r="C52" s="1" t="s">
        <v>296</v>
      </c>
      <c r="D52" s="2"/>
      <c r="E52" s="43" t="s">
        <v>296</v>
      </c>
      <c r="F52" s="41">
        <v>14.5</v>
      </c>
      <c r="G52" s="41">
        <v>13.6</v>
      </c>
      <c r="H52" s="41">
        <v>15.8</v>
      </c>
      <c r="I52" s="41">
        <v>11.6</v>
      </c>
      <c r="J52" s="41">
        <v>24.2</v>
      </c>
      <c r="K52" s="43" t="s">
        <v>246</v>
      </c>
      <c r="L52" s="11"/>
      <c r="M52" s="51">
        <f>LEFT(E52,6)&amp;"數值"</f>
      </c>
    </row>
    <row x14ac:dyDescent="0.25" r="53" customHeight="1" ht="18.75">
      <c r="A53" s="1" t="s">
        <v>247</v>
      </c>
      <c r="B53" s="1"/>
      <c r="C53" s="1" t="s">
        <v>297</v>
      </c>
      <c r="D53" s="2"/>
      <c r="E53" s="3" t="s">
        <v>297</v>
      </c>
      <c r="F53" s="16">
        <v>14.4</v>
      </c>
      <c r="G53" s="16">
        <v>13.7</v>
      </c>
      <c r="H53" s="16">
        <v>15.5</v>
      </c>
      <c r="I53" s="16">
        <v>11.6</v>
      </c>
      <c r="J53" s="16">
        <v>24.1</v>
      </c>
      <c r="K53" s="43" t="s">
        <v>246</v>
      </c>
      <c r="L53" s="11"/>
      <c r="M53" s="51">
        <f>LEFT(E53,6)&amp;"數值"</f>
      </c>
    </row>
    <row x14ac:dyDescent="0.25" r="54" customHeight="1" ht="18.75">
      <c r="A54" s="1" t="s">
        <v>247</v>
      </c>
      <c r="B54" s="1"/>
      <c r="C54" s="1" t="s">
        <v>298</v>
      </c>
      <c r="D54" s="2"/>
      <c r="E54" s="3" t="s">
        <v>298</v>
      </c>
      <c r="F54" s="16">
        <v>14.8</v>
      </c>
      <c r="G54" s="16">
        <v>13.9</v>
      </c>
      <c r="H54" s="16">
        <v>15.7</v>
      </c>
      <c r="I54" s="27">
        <v>12</v>
      </c>
      <c r="J54" s="16">
        <v>24.8</v>
      </c>
      <c r="K54" s="43" t="s">
        <v>246</v>
      </c>
      <c r="L54" s="11"/>
      <c r="M54" s="51">
        <f>LEFT(E54,6)&amp;"數值"</f>
      </c>
    </row>
    <row x14ac:dyDescent="0.25" r="55" customHeight="1" ht="18.75">
      <c r="A55" s="1" t="s">
        <v>247</v>
      </c>
      <c r="B55" s="1"/>
      <c r="C55" s="1" t="s">
        <v>299</v>
      </c>
      <c r="D55" s="2"/>
      <c r="E55" s="43" t="s">
        <v>299</v>
      </c>
      <c r="F55" s="41">
        <v>15.2</v>
      </c>
      <c r="G55" s="41">
        <v>14.5</v>
      </c>
      <c r="H55" s="41">
        <v>16.2</v>
      </c>
      <c r="I55" s="41">
        <v>10.9</v>
      </c>
      <c r="J55" s="41">
        <v>25.5</v>
      </c>
      <c r="K55" s="43" t="s">
        <v>246</v>
      </c>
      <c r="L55" s="11"/>
      <c r="M55" s="51">
        <f>LEFT(E55,6)&amp;"數值"</f>
      </c>
    </row>
    <row x14ac:dyDescent="0.25" r="56" customHeight="1" ht="18.75">
      <c r="A56" s="1" t="s">
        <v>247</v>
      </c>
      <c r="B56" s="1"/>
      <c r="C56" s="1" t="s">
        <v>300</v>
      </c>
      <c r="D56" s="2"/>
      <c r="E56" s="43" t="s">
        <v>300</v>
      </c>
      <c r="F56" s="41">
        <v>15.3</v>
      </c>
      <c r="G56" s="41">
        <v>14.6</v>
      </c>
      <c r="H56" s="41">
        <v>16.3</v>
      </c>
      <c r="I56" s="41">
        <v>10.7</v>
      </c>
      <c r="J56" s="41">
        <v>25.6</v>
      </c>
      <c r="K56" s="43" t="s">
        <v>246</v>
      </c>
      <c r="L56" s="11"/>
      <c r="M56" s="51">
        <f>LEFT(E56,6)&amp;"數值"</f>
      </c>
    </row>
    <row x14ac:dyDescent="0.25" r="57" customHeight="1" ht="18.75">
      <c r="A57" s="1" t="s">
        <v>247</v>
      </c>
      <c r="B57" s="1"/>
      <c r="C57" s="1" t="s">
        <v>301</v>
      </c>
      <c r="D57" s="2"/>
      <c r="E57" s="43" t="s">
        <v>301</v>
      </c>
      <c r="F57" s="41">
        <v>15.5</v>
      </c>
      <c r="G57" s="41">
        <v>14.7</v>
      </c>
      <c r="H57" s="41">
        <v>16.2</v>
      </c>
      <c r="I57" s="41">
        <v>10.6</v>
      </c>
      <c r="J57" s="41">
        <v>26.4</v>
      </c>
      <c r="K57" s="43" t="s">
        <v>246</v>
      </c>
      <c r="L57" s="11"/>
      <c r="M57" s="51">
        <f>LEFT(E57,6)&amp;"數值"</f>
      </c>
    </row>
    <row x14ac:dyDescent="0.25" r="58" customHeight="1" ht="18.75">
      <c r="A58" s="1" t="s">
        <v>247</v>
      </c>
      <c r="B58" s="1"/>
      <c r="C58" s="1" t="s">
        <v>302</v>
      </c>
      <c r="D58" s="2"/>
      <c r="E58" s="43" t="s">
        <v>302</v>
      </c>
      <c r="F58" s="41">
        <v>15.2</v>
      </c>
      <c r="G58" s="41">
        <v>14.3</v>
      </c>
      <c r="H58" s="41">
        <v>15.6</v>
      </c>
      <c r="I58" s="41">
        <v>10.4</v>
      </c>
      <c r="J58" s="41">
        <v>26.9</v>
      </c>
      <c r="K58" s="43" t="s">
        <v>246</v>
      </c>
      <c r="L58" s="11"/>
      <c r="M58" s="51">
        <f>LEFT(E58,6)&amp;"數值"</f>
      </c>
    </row>
    <row x14ac:dyDescent="0.25" r="59" customHeight="1" ht="18.75">
      <c r="A59" s="1" t="s">
        <v>247</v>
      </c>
      <c r="B59" s="1"/>
      <c r="C59" s="1" t="s">
        <v>303</v>
      </c>
      <c r="D59" s="2"/>
      <c r="E59" s="43" t="s">
        <v>303</v>
      </c>
      <c r="F59" s="41">
        <v>15.8</v>
      </c>
      <c r="G59" s="41">
        <v>14.9</v>
      </c>
      <c r="H59" s="41">
        <v>16.2</v>
      </c>
      <c r="I59" s="41">
        <v>10.6</v>
      </c>
      <c r="J59" s="41">
        <v>27.5</v>
      </c>
      <c r="K59" s="43" t="s">
        <v>246</v>
      </c>
      <c r="L59" s="11"/>
      <c r="M59" s="51">
        <f>LEFT(E59,6)&amp;"數值"</f>
      </c>
    </row>
    <row x14ac:dyDescent="0.25" r="60" customHeight="1" ht="18.75">
      <c r="A60" s="1" t="s">
        <v>247</v>
      </c>
      <c r="B60" s="1"/>
      <c r="C60" s="1" t="s">
        <v>304</v>
      </c>
      <c r="D60" s="2"/>
      <c r="E60" s="43" t="s">
        <v>304</v>
      </c>
      <c r="F60" s="41">
        <v>15.5</v>
      </c>
      <c r="G60" s="41">
        <v>14.6</v>
      </c>
      <c r="H60" s="41">
        <v>15.9</v>
      </c>
      <c r="I60" s="41">
        <v>10.7</v>
      </c>
      <c r="J60" s="41">
        <v>27.6</v>
      </c>
      <c r="K60" s="43" t="s">
        <v>246</v>
      </c>
      <c r="L60" s="11"/>
      <c r="M60" s="51">
        <f>LEFT(E60,6)&amp;"數值"</f>
      </c>
    </row>
    <row x14ac:dyDescent="0.25" r="61" customHeight="1" ht="18.75">
      <c r="A61" s="1" t="s">
        <v>247</v>
      </c>
      <c r="B61" s="1"/>
      <c r="C61" s="1" t="s">
        <v>305</v>
      </c>
      <c r="D61" s="2"/>
      <c r="E61" s="43" t="s">
        <v>305</v>
      </c>
      <c r="F61" s="41">
        <v>15.5</v>
      </c>
      <c r="G61" s="41">
        <v>14.7</v>
      </c>
      <c r="H61" s="41">
        <v>15.5</v>
      </c>
      <c r="I61" s="41">
        <v>11.1</v>
      </c>
      <c r="J61" s="41">
        <v>27.5</v>
      </c>
      <c r="K61" s="43" t="s">
        <v>246</v>
      </c>
      <c r="L61" s="11"/>
      <c r="M61" s="51">
        <f>LEFT(E61,6)&amp;"數值"</f>
      </c>
    </row>
    <row x14ac:dyDescent="0.25" r="62" customHeight="1" ht="18.75">
      <c r="A62" s="1" t="s">
        <v>247</v>
      </c>
      <c r="B62" s="1"/>
      <c r="C62" s="1" t="s">
        <v>306</v>
      </c>
      <c r="D62" s="2"/>
      <c r="E62" s="43" t="s">
        <v>306</v>
      </c>
      <c r="F62" s="41">
        <v>14.7</v>
      </c>
      <c r="G62" s="41">
        <v>14.6</v>
      </c>
      <c r="H62" s="41">
        <v>13.4</v>
      </c>
      <c r="I62" s="48">
        <v>12</v>
      </c>
      <c r="J62" s="41">
        <v>21.5</v>
      </c>
      <c r="K62" s="43" t="s">
        <v>246</v>
      </c>
      <c r="L62" s="11"/>
      <c r="M62" s="51">
        <f>LEFT(E62,6)&amp;"數值"</f>
      </c>
    </row>
    <row x14ac:dyDescent="0.25" r="63" customHeight="1" ht="18.75">
      <c r="A63" s="1" t="s">
        <v>247</v>
      </c>
      <c r="B63" s="1"/>
      <c r="C63" s="1" t="s">
        <v>307</v>
      </c>
      <c r="D63" s="2"/>
      <c r="E63" s="43" t="s">
        <v>307</v>
      </c>
      <c r="F63" s="41">
        <v>14.4</v>
      </c>
      <c r="G63" s="41">
        <v>14.2</v>
      </c>
      <c r="H63" s="48">
        <v>13</v>
      </c>
      <c r="I63" s="41">
        <v>11.7</v>
      </c>
      <c r="J63" s="41">
        <v>20.8</v>
      </c>
      <c r="K63" s="43" t="s">
        <v>246</v>
      </c>
      <c r="L63" s="11"/>
      <c r="M63" s="51">
        <f>LEFT(E63,6)&amp;"數值"</f>
      </c>
    </row>
    <row x14ac:dyDescent="0.25" r="64" customHeight="1" ht="18.75">
      <c r="A64" s="1" t="s">
        <v>247</v>
      </c>
      <c r="B64" s="1"/>
      <c r="C64" s="1" t="s">
        <v>308</v>
      </c>
      <c r="D64" s="2"/>
      <c r="E64" s="43" t="s">
        <v>308</v>
      </c>
      <c r="F64" s="41">
        <v>14.5</v>
      </c>
      <c r="G64" s="41">
        <v>14.3</v>
      </c>
      <c r="H64" s="41">
        <v>13.1</v>
      </c>
      <c r="I64" s="41">
        <v>11.6</v>
      </c>
      <c r="J64" s="41">
        <v>21.9</v>
      </c>
      <c r="K64" s="43" t="s">
        <v>246</v>
      </c>
      <c r="L64" s="11"/>
      <c r="M64" s="51">
        <f>LEFT(E64,6)&amp;"數值"</f>
      </c>
    </row>
    <row x14ac:dyDescent="0.25" r="65" customHeight="1" ht="18.75">
      <c r="A65" s="1" t="s">
        <v>247</v>
      </c>
      <c r="B65" s="1"/>
      <c r="C65" s="1" t="s">
        <v>309</v>
      </c>
      <c r="D65" s="2"/>
      <c r="E65" s="43" t="s">
        <v>309</v>
      </c>
      <c r="F65" s="41">
        <v>14.5</v>
      </c>
      <c r="G65" s="41">
        <v>14.4</v>
      </c>
      <c r="H65" s="41">
        <v>12.7</v>
      </c>
      <c r="I65" s="41">
        <v>11.7</v>
      </c>
      <c r="J65" s="41">
        <v>21.3</v>
      </c>
      <c r="K65" s="43" t="s">
        <v>246</v>
      </c>
      <c r="L65" s="11"/>
      <c r="M65" s="51">
        <f>LEFT(E65,6)&amp;"數值"</f>
      </c>
    </row>
    <row x14ac:dyDescent="0.25" r="66" customHeight="1" ht="18.75">
      <c r="A66" s="1" t="s">
        <v>247</v>
      </c>
      <c r="B66" s="1"/>
      <c r="C66" s="1" t="s">
        <v>310</v>
      </c>
      <c r="D66" s="2"/>
      <c r="E66" s="43" t="s">
        <v>310</v>
      </c>
      <c r="F66" s="41">
        <v>14.6</v>
      </c>
      <c r="G66" s="41">
        <v>14.2</v>
      </c>
      <c r="H66" s="41">
        <v>13.4</v>
      </c>
      <c r="I66" s="41">
        <v>11.9</v>
      </c>
      <c r="J66" s="41">
        <v>23.4</v>
      </c>
      <c r="K66" s="43" t="s">
        <v>246</v>
      </c>
      <c r="L66" s="11"/>
      <c r="M66" s="51">
        <f>LEFT(E66,6)&amp;"數值"</f>
      </c>
    </row>
    <row x14ac:dyDescent="0.25" r="67" customHeight="1" ht="18.75">
      <c r="A67" s="1" t="s">
        <v>247</v>
      </c>
      <c r="B67" s="1"/>
      <c r="C67" s="1" t="s">
        <v>311</v>
      </c>
      <c r="D67" s="2"/>
      <c r="E67" s="43" t="s">
        <v>311</v>
      </c>
      <c r="F67" s="41">
        <v>14.6</v>
      </c>
      <c r="G67" s="41">
        <v>14.2</v>
      </c>
      <c r="H67" s="41">
        <v>13.1</v>
      </c>
      <c r="I67" s="41">
        <v>11.7</v>
      </c>
      <c r="J67" s="48">
        <v>23</v>
      </c>
      <c r="K67" s="43" t="s">
        <v>246</v>
      </c>
      <c r="L67" s="11"/>
      <c r="M67" s="51">
        <f>LEFT(E67,6)&amp;"數值"</f>
      </c>
    </row>
    <row x14ac:dyDescent="0.25" r="68" customHeight="1" ht="18.75">
      <c r="A68" s="1" t="s">
        <v>247</v>
      </c>
      <c r="B68" s="1"/>
      <c r="C68" s="1" t="s">
        <v>312</v>
      </c>
      <c r="D68" s="2"/>
      <c r="E68" s="43" t="s">
        <v>312</v>
      </c>
      <c r="F68" s="41">
        <v>14.7</v>
      </c>
      <c r="G68" s="41">
        <v>14.5</v>
      </c>
      <c r="H68" s="41">
        <v>13.1</v>
      </c>
      <c r="I68" s="41">
        <v>11.9</v>
      </c>
      <c r="J68" s="41">
        <v>22.5</v>
      </c>
      <c r="K68" s="43" t="s">
        <v>246</v>
      </c>
      <c r="L68" s="11"/>
      <c r="M68" s="51">
        <f>LEFT(E68,6)&amp;"數值"</f>
      </c>
    </row>
    <row x14ac:dyDescent="0.25" r="69" customHeight="1" ht="18.75">
      <c r="A69" s="1" t="s">
        <v>247</v>
      </c>
      <c r="B69" s="1"/>
      <c r="C69" s="1" t="s">
        <v>313</v>
      </c>
      <c r="D69" s="2"/>
      <c r="E69" s="43" t="s">
        <v>313</v>
      </c>
      <c r="F69" s="41">
        <v>14.9</v>
      </c>
      <c r="G69" s="41">
        <v>14.7</v>
      </c>
      <c r="H69" s="48">
        <v>13</v>
      </c>
      <c r="I69" s="41">
        <v>12.1</v>
      </c>
      <c r="J69" s="41">
        <v>21.9</v>
      </c>
      <c r="K69" s="43" t="s">
        <v>246</v>
      </c>
      <c r="L69" s="11"/>
      <c r="M69" s="51">
        <f>LEFT(E69,6)&amp;"數值"</f>
      </c>
    </row>
    <row x14ac:dyDescent="0.25" r="70" customHeight="1" ht="18.75">
      <c r="A70" s="1" t="s">
        <v>247</v>
      </c>
      <c r="B70" s="1"/>
      <c r="C70" s="1" t="s">
        <v>314</v>
      </c>
      <c r="D70" s="2"/>
      <c r="E70" s="43" t="s">
        <v>314</v>
      </c>
      <c r="F70" s="41">
        <v>14.9</v>
      </c>
      <c r="G70" s="41">
        <v>14.8</v>
      </c>
      <c r="H70" s="41">
        <v>12.6</v>
      </c>
      <c r="I70" s="41">
        <v>12.2</v>
      </c>
      <c r="J70" s="41">
        <v>20.4</v>
      </c>
      <c r="K70" s="43" t="s">
        <v>246</v>
      </c>
      <c r="L70" s="11"/>
      <c r="M70" s="51">
        <f>LEFT(E70,6)&amp;"數值"</f>
      </c>
    </row>
    <row x14ac:dyDescent="0.25" r="71" customHeight="1" ht="18.75">
      <c r="A71" s="1" t="s">
        <v>247</v>
      </c>
      <c r="B71" s="1"/>
      <c r="C71" s="1" t="s">
        <v>315</v>
      </c>
      <c r="D71" s="2"/>
      <c r="E71" s="43" t="s">
        <v>315</v>
      </c>
      <c r="F71" s="41">
        <v>13.2</v>
      </c>
      <c r="G71" s="41">
        <v>13.3</v>
      </c>
      <c r="H71" s="41">
        <v>11.1</v>
      </c>
      <c r="I71" s="41">
        <v>10.7</v>
      </c>
      <c r="J71" s="41">
        <v>17.9</v>
      </c>
      <c r="K71" s="43" t="s">
        <v>246</v>
      </c>
      <c r="L71" s="11"/>
      <c r="M71" s="51">
        <f>LEFT(E71,6)&amp;"數值"</f>
      </c>
    </row>
    <row x14ac:dyDescent="0.25" r="72" customHeight="1" ht="18.75">
      <c r="A72" s="1" t="s">
        <v>247</v>
      </c>
      <c r="B72" s="1"/>
      <c r="C72" s="1" t="s">
        <v>316</v>
      </c>
      <c r="D72" s="2"/>
      <c r="E72" s="43" t="s">
        <v>316</v>
      </c>
      <c r="F72" s="41">
        <v>13.3</v>
      </c>
      <c r="G72" s="48">
        <v>13</v>
      </c>
      <c r="H72" s="41">
        <v>11.4</v>
      </c>
      <c r="I72" s="41">
        <v>10.8</v>
      </c>
      <c r="J72" s="41">
        <v>20.1</v>
      </c>
      <c r="K72" s="43" t="s">
        <v>246</v>
      </c>
      <c r="L72" s="11"/>
      <c r="M72" s="51">
        <f>LEFT(E72,6)&amp;"數值"</f>
      </c>
    </row>
    <row x14ac:dyDescent="0.25" r="73" customHeight="1" ht="18.75">
      <c r="A73" s="1" t="s">
        <v>247</v>
      </c>
      <c r="B73" s="1"/>
      <c r="C73" s="1" t="s">
        <v>317</v>
      </c>
      <c r="D73" s="2"/>
      <c r="E73" s="43" t="s">
        <v>317</v>
      </c>
      <c r="F73" s="41">
        <v>13.1</v>
      </c>
      <c r="G73" s="41">
        <v>13.1</v>
      </c>
      <c r="H73" s="41">
        <v>10.8</v>
      </c>
      <c r="I73" s="41">
        <v>9.1</v>
      </c>
      <c r="J73" s="41">
        <v>19.7</v>
      </c>
      <c r="K73" s="43" t="s">
        <v>246</v>
      </c>
      <c r="L73" s="11"/>
      <c r="M73" s="51">
        <f>LEFT(E73,6)&amp;"數值"</f>
      </c>
    </row>
    <row x14ac:dyDescent="0.25" r="74" customHeight="1" ht="18.75">
      <c r="A74" s="1" t="s">
        <v>247</v>
      </c>
      <c r="B74" s="1"/>
      <c r="C74" s="1" t="s">
        <v>318</v>
      </c>
      <c r="D74" s="2"/>
      <c r="E74" s="43" t="s">
        <v>318</v>
      </c>
      <c r="F74" s="41">
        <v>13.9</v>
      </c>
      <c r="G74" s="41">
        <v>13.6</v>
      </c>
      <c r="H74" s="48">
        <v>13</v>
      </c>
      <c r="I74" s="41">
        <v>10.3</v>
      </c>
      <c r="J74" s="41">
        <v>18.5</v>
      </c>
      <c r="K74" s="43" t="s">
        <v>246</v>
      </c>
      <c r="L74" s="11"/>
      <c r="M74" s="51">
        <f>LEFT(E74,6)&amp;"數值"</f>
      </c>
    </row>
    <row x14ac:dyDescent="0.25" r="75" customHeight="1" ht="18.75">
      <c r="A75" s="1" t="s">
        <v>247</v>
      </c>
      <c r="B75" s="1"/>
      <c r="C75" s="1" t="s">
        <v>319</v>
      </c>
      <c r="D75" s="2"/>
      <c r="E75" s="43" t="s">
        <v>319</v>
      </c>
      <c r="F75" s="41">
        <v>14.8</v>
      </c>
      <c r="G75" s="41">
        <v>14.5</v>
      </c>
      <c r="H75" s="41">
        <v>13.9</v>
      </c>
      <c r="I75" s="41">
        <v>10.9</v>
      </c>
      <c r="J75" s="41">
        <v>19.8</v>
      </c>
      <c r="K75" s="43" t="s">
        <v>246</v>
      </c>
      <c r="L75" s="11"/>
      <c r="M75" s="51">
        <f>LEFT(E75,6)&amp;"數值"</f>
      </c>
    </row>
    <row x14ac:dyDescent="0.25" r="76" customHeight="1" ht="18.75">
      <c r="A76" s="1" t="s">
        <v>247</v>
      </c>
      <c r="B76" s="1"/>
      <c r="C76" s="1" t="s">
        <v>320</v>
      </c>
      <c r="D76" s="2"/>
      <c r="E76" s="43" t="s">
        <v>320</v>
      </c>
      <c r="F76" s="41">
        <v>15.3</v>
      </c>
      <c r="G76" s="48">
        <v>15</v>
      </c>
      <c r="H76" s="41">
        <v>14.5</v>
      </c>
      <c r="I76" s="41">
        <v>11.3</v>
      </c>
      <c r="J76" s="41">
        <v>20.1</v>
      </c>
      <c r="K76" s="43" t="s">
        <v>246</v>
      </c>
      <c r="L76" s="11"/>
      <c r="M76" s="51">
        <f>LEFT(E76,6)&amp;"數值"</f>
      </c>
    </row>
    <row x14ac:dyDescent="0.25" r="77" customHeight="1" ht="18.75">
      <c r="A77" s="1" t="s">
        <v>247</v>
      </c>
      <c r="B77" s="1"/>
      <c r="C77" s="1" t="s">
        <v>321</v>
      </c>
      <c r="D77" s="2"/>
      <c r="E77" s="43" t="s">
        <v>321</v>
      </c>
      <c r="F77" s="41">
        <v>16.1</v>
      </c>
      <c r="G77" s="41">
        <v>16.1</v>
      </c>
      <c r="H77" s="41">
        <v>15.4</v>
      </c>
      <c r="I77" s="48">
        <v>13</v>
      </c>
      <c r="J77" s="41">
        <v>20.7</v>
      </c>
      <c r="K77" s="43" t="s">
        <v>246</v>
      </c>
      <c r="L77" s="11"/>
      <c r="M77" s="51">
        <f>LEFT(E77,6)&amp;"數值"</f>
      </c>
    </row>
    <row x14ac:dyDescent="0.25" r="78" customHeight="1" ht="18.75">
      <c r="A78" s="1" t="s">
        <v>247</v>
      </c>
      <c r="B78" s="1"/>
      <c r="C78" s="1" t="s">
        <v>322</v>
      </c>
      <c r="D78" s="2"/>
      <c r="E78" s="43" t="s">
        <v>322</v>
      </c>
      <c r="F78" s="41">
        <v>15.9</v>
      </c>
      <c r="G78" s="48">
        <v>16</v>
      </c>
      <c r="H78" s="41">
        <v>14.8</v>
      </c>
      <c r="I78" s="48">
        <v>13</v>
      </c>
      <c r="J78" s="48">
        <v>20</v>
      </c>
      <c r="K78" s="43" t="s">
        <v>246</v>
      </c>
      <c r="L78" s="11"/>
      <c r="M78" s="51">
        <f>LEFT(E78,6)&amp;"數值"</f>
      </c>
    </row>
    <row x14ac:dyDescent="0.25" r="79" customHeight="1" ht="18.75">
      <c r="A79" s="1" t="s">
        <v>247</v>
      </c>
      <c r="B79" s="1"/>
      <c r="C79" s="1" t="s">
        <v>323</v>
      </c>
      <c r="D79" s="2"/>
      <c r="E79" s="43" t="s">
        <v>323</v>
      </c>
      <c r="F79" s="41">
        <v>16.5</v>
      </c>
      <c r="G79" s="41">
        <v>16.4</v>
      </c>
      <c r="H79" s="48">
        <v>16</v>
      </c>
      <c r="I79" s="41">
        <v>12.5</v>
      </c>
      <c r="J79" s="41">
        <v>20.8</v>
      </c>
      <c r="K79" s="43" t="s">
        <v>246</v>
      </c>
      <c r="L79" s="11"/>
      <c r="M79" s="51">
        <f>LEFT(E79,6)&amp;"數值"</f>
      </c>
    </row>
    <row x14ac:dyDescent="0.25" r="80" customHeight="1" ht="18.75">
      <c r="A80" s="1" t="s">
        <v>247</v>
      </c>
      <c r="B80" s="1"/>
      <c r="C80" s="1" t="s">
        <v>324</v>
      </c>
      <c r="D80" s="2"/>
      <c r="E80" s="43" t="s">
        <v>324</v>
      </c>
      <c r="F80" s="41">
        <v>16.9</v>
      </c>
      <c r="G80" s="41">
        <v>16.8</v>
      </c>
      <c r="H80" s="41">
        <v>16.3</v>
      </c>
      <c r="I80" s="41">
        <v>12.6</v>
      </c>
      <c r="J80" s="41">
        <v>21.3</v>
      </c>
      <c r="K80" s="43" t="s">
        <v>246</v>
      </c>
      <c r="L80" s="11"/>
      <c r="M80" s="51">
        <f>LEFT(E80,6)&amp;"數值"</f>
      </c>
    </row>
    <row x14ac:dyDescent="0.25" r="81" customHeight="1" ht="18.75">
      <c r="A81" s="1" t="s">
        <v>247</v>
      </c>
      <c r="B81" s="1"/>
      <c r="C81" s="1" t="s">
        <v>325</v>
      </c>
      <c r="D81" s="2"/>
      <c r="E81" s="43" t="s">
        <v>325</v>
      </c>
      <c r="F81" s="41">
        <v>16.7</v>
      </c>
      <c r="G81" s="41">
        <v>16.5</v>
      </c>
      <c r="H81" s="41">
        <v>16.2</v>
      </c>
      <c r="I81" s="41">
        <v>12.1</v>
      </c>
      <c r="J81" s="41">
        <v>21.5</v>
      </c>
      <c r="K81" s="43" t="s">
        <v>246</v>
      </c>
      <c r="L81" s="11"/>
      <c r="M81" s="51">
        <f>LEFT(E81,6)&amp;"數值"</f>
      </c>
    </row>
    <row x14ac:dyDescent="0.25" r="82" customHeight="1" ht="18.75">
      <c r="A82" s="1" t="s">
        <v>247</v>
      </c>
      <c r="B82" s="1"/>
      <c r="C82" s="1" t="s">
        <v>326</v>
      </c>
      <c r="D82" s="2"/>
      <c r="E82" s="43" t="s">
        <v>326</v>
      </c>
      <c r="F82" s="41">
        <v>17.1</v>
      </c>
      <c r="G82" s="41">
        <v>16.7</v>
      </c>
      <c r="H82" s="41">
        <v>17.6</v>
      </c>
      <c r="I82" s="41">
        <v>12.3</v>
      </c>
      <c r="J82" s="41">
        <v>22.1</v>
      </c>
      <c r="K82" s="43" t="s">
        <v>246</v>
      </c>
      <c r="L82" s="11"/>
      <c r="M82" s="51">
        <f>LEFT(E82,6)&amp;"數值"</f>
      </c>
    </row>
    <row x14ac:dyDescent="0.25" r="83" customHeight="1" ht="18.75">
      <c r="A83" s="1" t="s">
        <v>247</v>
      </c>
      <c r="B83" s="1"/>
      <c r="C83" s="1" t="s">
        <v>327</v>
      </c>
      <c r="D83" s="2"/>
      <c r="E83" s="43" t="s">
        <v>327</v>
      </c>
      <c r="F83" s="41">
        <v>17.9</v>
      </c>
      <c r="G83" s="41">
        <v>17.5</v>
      </c>
      <c r="H83" s="41">
        <v>18.5</v>
      </c>
      <c r="I83" s="41">
        <v>12.8</v>
      </c>
      <c r="J83" s="41">
        <v>22.6</v>
      </c>
      <c r="K83" s="43" t="s">
        <v>246</v>
      </c>
      <c r="L83" s="11"/>
      <c r="M83" s="51">
        <f>LEFT(E83,6)&amp;"數值"</f>
      </c>
    </row>
    <row x14ac:dyDescent="0.25" r="84" customHeight="1" ht="18.75">
      <c r="A84" s="1" t="s">
        <v>247</v>
      </c>
      <c r="B84" s="1"/>
      <c r="C84" s="1" t="s">
        <v>328</v>
      </c>
      <c r="D84" s="2"/>
      <c r="E84" s="43" t="s">
        <v>328</v>
      </c>
      <c r="F84" s="41">
        <v>18.1</v>
      </c>
      <c r="G84" s="41">
        <v>17.6</v>
      </c>
      <c r="H84" s="48">
        <v>19</v>
      </c>
      <c r="I84" s="41">
        <v>12.7</v>
      </c>
      <c r="J84" s="41">
        <v>23.1</v>
      </c>
      <c r="K84" s="43" t="s">
        <v>246</v>
      </c>
      <c r="L84" s="11"/>
      <c r="M84" s="51">
        <f>LEFT(E84,6)&amp;"數值"</f>
      </c>
    </row>
    <row x14ac:dyDescent="0.25" r="85" customHeight="1" ht="18.75">
      <c r="A85" s="1" t="s">
        <v>247</v>
      </c>
      <c r="B85" s="1"/>
      <c r="C85" s="1" t="s">
        <v>329</v>
      </c>
      <c r="D85" s="2"/>
      <c r="E85" s="43" t="s">
        <v>329</v>
      </c>
      <c r="F85" s="41">
        <v>18.9</v>
      </c>
      <c r="G85" s="41">
        <v>18.4</v>
      </c>
      <c r="H85" s="48">
        <v>20</v>
      </c>
      <c r="I85" s="41">
        <v>13.6</v>
      </c>
      <c r="J85" s="41">
        <v>24.1</v>
      </c>
      <c r="K85" s="43" t="s">
        <v>246</v>
      </c>
      <c r="L85" s="11"/>
      <c r="M85" s="51">
        <f>LEFT(E85,6)&amp;"數值"</f>
      </c>
    </row>
    <row x14ac:dyDescent="0.25" r="86" customHeight="1" ht="18.75">
      <c r="A86" s="1" t="s">
        <v>247</v>
      </c>
      <c r="B86" s="1"/>
      <c r="C86" s="1" t="s">
        <v>330</v>
      </c>
      <c r="D86" s="2"/>
      <c r="E86" s="43" t="s">
        <v>330</v>
      </c>
      <c r="F86" s="41">
        <v>16.1</v>
      </c>
      <c r="G86" s="41">
        <v>15.7</v>
      </c>
      <c r="H86" s="41">
        <v>17.1</v>
      </c>
      <c r="I86" s="41">
        <v>12.7</v>
      </c>
      <c r="J86" s="41">
        <v>20.3</v>
      </c>
      <c r="K86" s="43" t="s">
        <v>246</v>
      </c>
      <c r="L86" s="11"/>
      <c r="M86" s="51">
        <f>LEFT(E86,6)&amp;"數值"</f>
      </c>
    </row>
    <row x14ac:dyDescent="0.25" r="87" customHeight="1" ht="18.75">
      <c r="A87" s="1" t="s">
        <v>247</v>
      </c>
      <c r="B87" s="1"/>
      <c r="C87" s="1" t="s">
        <v>331</v>
      </c>
      <c r="D87" s="2"/>
      <c r="E87" s="43" t="s">
        <v>331</v>
      </c>
      <c r="F87" s="41">
        <v>15.9</v>
      </c>
      <c r="G87" s="41">
        <v>15.5</v>
      </c>
      <c r="H87" s="41">
        <v>16.8</v>
      </c>
      <c r="I87" s="41">
        <v>12.6</v>
      </c>
      <c r="J87" s="41">
        <v>20.4</v>
      </c>
      <c r="K87" s="43" t="s">
        <v>246</v>
      </c>
      <c r="L87" s="11"/>
      <c r="M87" s="51">
        <f>LEFT(E87,6)&amp;"數值"</f>
      </c>
    </row>
    <row x14ac:dyDescent="0.25" r="88" customHeight="1" ht="18.75">
      <c r="A88" s="1" t="s">
        <v>247</v>
      </c>
      <c r="B88" s="1"/>
      <c r="C88" s="1" t="s">
        <v>332</v>
      </c>
      <c r="D88" s="2"/>
      <c r="E88" s="43" t="s">
        <v>332</v>
      </c>
      <c r="F88" s="41">
        <v>14.3</v>
      </c>
      <c r="G88" s="48">
        <v>14</v>
      </c>
      <c r="H88" s="41">
        <v>14.6</v>
      </c>
      <c r="I88" s="41">
        <v>11.5</v>
      </c>
      <c r="J88" s="41">
        <v>18.2</v>
      </c>
      <c r="K88" s="43" t="s">
        <v>246</v>
      </c>
      <c r="L88" s="11"/>
      <c r="M88" s="51">
        <f>LEFT(E88,6)&amp;"數值"</f>
      </c>
    </row>
    <row x14ac:dyDescent="0.25" r="89" customHeight="1" ht="18.75">
      <c r="A89" s="1" t="s">
        <v>247</v>
      </c>
      <c r="B89" s="1"/>
      <c r="C89" s="1" t="s">
        <v>333</v>
      </c>
      <c r="D89" s="2"/>
      <c r="E89" s="43" t="s">
        <v>333</v>
      </c>
      <c r="F89" s="41">
        <v>16.9</v>
      </c>
      <c r="G89" s="41">
        <v>16.3</v>
      </c>
      <c r="H89" s="41">
        <v>17.3</v>
      </c>
      <c r="I89" s="41">
        <v>13.7</v>
      </c>
      <c r="J89" s="41">
        <v>22.1</v>
      </c>
      <c r="K89" s="43" t="s">
        <v>246</v>
      </c>
      <c r="L89" s="11"/>
      <c r="M89" s="51">
        <f>LEFT(E89,6)&amp;"數值"</f>
      </c>
    </row>
    <row x14ac:dyDescent="0.25" r="90" customHeight="1" ht="18.75">
      <c r="A90" s="1" t="s">
        <v>247</v>
      </c>
      <c r="B90" s="1"/>
      <c r="C90" s="1" t="s">
        <v>334</v>
      </c>
      <c r="D90" s="2"/>
      <c r="E90" s="43" t="s">
        <v>334</v>
      </c>
      <c r="F90" s="41">
        <v>17.7</v>
      </c>
      <c r="G90" s="41">
        <v>16.4</v>
      </c>
      <c r="H90" s="48">
        <v>20</v>
      </c>
      <c r="I90" s="41">
        <v>13.7</v>
      </c>
      <c r="J90" s="41">
        <v>25.3</v>
      </c>
      <c r="K90" s="43" t="s">
        <v>246</v>
      </c>
      <c r="L90" s="11"/>
      <c r="M90" s="51">
        <f>LEFT(E90,6)&amp;"數值"</f>
      </c>
    </row>
    <row x14ac:dyDescent="0.25" r="91" customHeight="1" ht="18.75">
      <c r="A91" s="1" t="s">
        <v>247</v>
      </c>
      <c r="B91" s="1"/>
      <c r="C91" s="1" t="s">
        <v>335</v>
      </c>
      <c r="D91" s="2"/>
      <c r="E91" s="43" t="s">
        <v>335</v>
      </c>
      <c r="F91" s="48">
        <v>19</v>
      </c>
      <c r="G91" s="41">
        <v>17.6</v>
      </c>
      <c r="H91" s="41">
        <v>21.4</v>
      </c>
      <c r="I91" s="41">
        <v>12.8</v>
      </c>
      <c r="J91" s="41">
        <v>27.5</v>
      </c>
      <c r="K91" s="43" t="s">
        <v>246</v>
      </c>
      <c r="L91" s="11"/>
      <c r="M91" s="51">
        <f>LEFT(E91,6)&amp;"數值"</f>
      </c>
    </row>
    <row x14ac:dyDescent="0.25" r="92" customHeight="1" ht="18.75">
      <c r="A92" s="1" t="s">
        <v>247</v>
      </c>
      <c r="B92" s="1"/>
      <c r="C92" s="1" t="s">
        <v>336</v>
      </c>
      <c r="D92" s="2"/>
      <c r="E92" s="43" t="s">
        <v>336</v>
      </c>
      <c r="F92" s="41">
        <v>20.1</v>
      </c>
      <c r="G92" s="41">
        <v>19.1</v>
      </c>
      <c r="H92" s="41">
        <v>21.8</v>
      </c>
      <c r="I92" s="41">
        <v>13.2</v>
      </c>
      <c r="J92" s="41">
        <v>27.7</v>
      </c>
      <c r="K92" s="43" t="s">
        <v>246</v>
      </c>
      <c r="L92" s="11"/>
      <c r="M92" s="51">
        <f>LEFT(E92,6)&amp;"數值"</f>
      </c>
    </row>
    <row x14ac:dyDescent="0.25" r="93" customHeight="1" ht="18.75">
      <c r="A93" s="1" t="s">
        <v>247</v>
      </c>
      <c r="B93" s="1"/>
      <c r="C93" s="1" t="s">
        <v>337</v>
      </c>
      <c r="D93" s="2"/>
      <c r="E93" s="43" t="s">
        <v>337</v>
      </c>
      <c r="F93" s="41">
        <v>19.5</v>
      </c>
      <c r="G93" s="41">
        <v>18.5</v>
      </c>
      <c r="H93" s="41">
        <v>20.8</v>
      </c>
      <c r="I93" s="48">
        <v>12</v>
      </c>
      <c r="J93" s="41">
        <v>27.1</v>
      </c>
      <c r="K93" s="43" t="s">
        <v>246</v>
      </c>
      <c r="L93" s="11"/>
      <c r="M93" s="51">
        <f>LEFT(E93,6)&amp;"數值"</f>
      </c>
    </row>
    <row x14ac:dyDescent="0.25" r="94" customHeight="1" ht="18.75">
      <c r="A94" s="1" t="s">
        <v>247</v>
      </c>
      <c r="B94" s="1"/>
      <c r="C94" s="1" t="s">
        <v>338</v>
      </c>
      <c r="D94" s="2"/>
      <c r="E94" s="43" t="s">
        <v>338</v>
      </c>
      <c r="F94" s="48">
        <v>19</v>
      </c>
      <c r="G94" s="41">
        <v>18.8</v>
      </c>
      <c r="H94" s="41">
        <v>17.8</v>
      </c>
      <c r="I94" s="41">
        <v>11.6</v>
      </c>
      <c r="J94" s="41">
        <v>24.1</v>
      </c>
      <c r="K94" s="43" t="s">
        <v>246</v>
      </c>
      <c r="L94" s="11"/>
      <c r="M94" s="51">
        <f>LEFT(E94,6)&amp;"數值"</f>
      </c>
    </row>
    <row x14ac:dyDescent="0.25" r="95" customHeight="1" ht="18.75">
      <c r="A95" s="1" t="s">
        <v>247</v>
      </c>
      <c r="B95" s="1"/>
      <c r="C95" s="1" t="s">
        <v>339</v>
      </c>
      <c r="D95" s="2"/>
      <c r="E95" s="43" t="s">
        <v>339</v>
      </c>
      <c r="F95" s="41">
        <v>18.7</v>
      </c>
      <c r="G95" s="41">
        <v>18.4</v>
      </c>
      <c r="H95" s="41">
        <v>17.3</v>
      </c>
      <c r="I95" s="41">
        <v>11.3</v>
      </c>
      <c r="J95" s="48">
        <v>24</v>
      </c>
      <c r="K95" s="43" t="s">
        <v>246</v>
      </c>
      <c r="L95" s="11"/>
      <c r="M95" s="51">
        <f>LEFT(E95,6)&amp;"數值"</f>
      </c>
    </row>
    <row x14ac:dyDescent="0.25" r="96" customHeight="1" ht="18.75">
      <c r="A96" s="1" t="s">
        <v>247</v>
      </c>
      <c r="B96" s="1"/>
      <c r="C96" s="1" t="s">
        <v>340</v>
      </c>
      <c r="D96" s="2"/>
      <c r="E96" s="43" t="s">
        <v>340</v>
      </c>
      <c r="F96" s="41">
        <v>20.1</v>
      </c>
      <c r="G96" s="41">
        <v>19.8</v>
      </c>
      <c r="H96" s="41">
        <v>18.3</v>
      </c>
      <c r="I96" s="41">
        <v>11.4</v>
      </c>
      <c r="J96" s="48">
        <v>26</v>
      </c>
      <c r="K96" s="43" t="s">
        <v>246</v>
      </c>
      <c r="L96" s="11"/>
      <c r="M96" s="51">
        <f>LEFT(E96,6)&amp;"數值"</f>
      </c>
    </row>
    <row x14ac:dyDescent="0.25" r="97" customHeight="1" ht="18.75">
      <c r="A97" s="1" t="s">
        <v>247</v>
      </c>
      <c r="B97" s="1"/>
      <c r="C97" s="1" t="s">
        <v>341</v>
      </c>
      <c r="D97" s="2"/>
      <c r="E97" s="43" t="s">
        <v>341</v>
      </c>
      <c r="F97" s="41">
        <v>21.3</v>
      </c>
      <c r="G97" s="41">
        <v>21.3</v>
      </c>
      <c r="H97" s="48">
        <v>19</v>
      </c>
      <c r="I97" s="41">
        <v>11.6</v>
      </c>
      <c r="J97" s="41">
        <v>27.1</v>
      </c>
      <c r="K97" s="43" t="s">
        <v>246</v>
      </c>
      <c r="L97" s="11"/>
      <c r="M97" s="51">
        <f>LEFT(E97,6)&amp;"數值"</f>
      </c>
    </row>
    <row x14ac:dyDescent="0.25" r="98" customHeight="1" ht="18.75">
      <c r="A98" s="1" t="s">
        <v>247</v>
      </c>
      <c r="B98" s="1"/>
      <c r="C98" s="1" t="s">
        <v>342</v>
      </c>
      <c r="D98" s="2"/>
      <c r="E98" s="43" t="s">
        <v>342</v>
      </c>
      <c r="F98" s="41">
        <v>18.5</v>
      </c>
      <c r="G98" s="41">
        <v>19.4</v>
      </c>
      <c r="H98" s="41">
        <v>14.7</v>
      </c>
      <c r="I98" s="41">
        <v>11.1</v>
      </c>
      <c r="J98" s="41">
        <v>22.8</v>
      </c>
      <c r="K98" s="43" t="s">
        <v>246</v>
      </c>
      <c r="L98" s="11"/>
      <c r="M98" s="51">
        <f>LEFT(E98,6)&amp;"數值"</f>
      </c>
    </row>
    <row x14ac:dyDescent="0.25" r="99" customHeight="1" ht="18.75">
      <c r="A99" s="1" t="s">
        <v>247</v>
      </c>
      <c r="B99" s="1"/>
      <c r="C99" s="1" t="s">
        <v>343</v>
      </c>
      <c r="D99" s="2"/>
      <c r="E99" s="43" t="s">
        <v>343</v>
      </c>
      <c r="F99" s="41">
        <v>19.3</v>
      </c>
      <c r="G99" s="41">
        <v>20.1</v>
      </c>
      <c r="H99" s="41">
        <v>15.3</v>
      </c>
      <c r="I99" s="41">
        <v>11.6</v>
      </c>
      <c r="J99" s="41">
        <v>24.8</v>
      </c>
      <c r="K99" s="43" t="s">
        <v>246</v>
      </c>
      <c r="L99" s="11"/>
      <c r="M99" s="51">
        <f>LEFT(E99,6)&amp;"數值"</f>
      </c>
    </row>
    <row x14ac:dyDescent="0.25" r="100" customHeight="1" ht="18.75">
      <c r="A100" s="1" t="s">
        <v>247</v>
      </c>
      <c r="B100" s="1"/>
      <c r="C100" s="1" t="s">
        <v>344</v>
      </c>
      <c r="D100" s="2"/>
      <c r="E100" s="43" t="s">
        <v>344</v>
      </c>
      <c r="F100" s="41">
        <v>18.2</v>
      </c>
      <c r="G100" s="41">
        <v>19.8</v>
      </c>
      <c r="H100" s="41">
        <v>13.3</v>
      </c>
      <c r="I100" s="48">
        <v>12</v>
      </c>
      <c r="J100" s="41">
        <v>22.8</v>
      </c>
      <c r="K100" s="43" t="s">
        <v>246</v>
      </c>
      <c r="L100" s="11"/>
      <c r="M100" s="51">
        <f>LEFT(E100,6)&amp;"數值"</f>
      </c>
    </row>
    <row x14ac:dyDescent="0.25" r="101" customHeight="1" ht="18.75">
      <c r="A101" s="1" t="s">
        <v>247</v>
      </c>
      <c r="B101" s="1"/>
      <c r="C101" s="1" t="s">
        <v>345</v>
      </c>
      <c r="D101" s="2"/>
      <c r="E101" s="43" t="s">
        <v>345</v>
      </c>
      <c r="F101" s="41">
        <v>17.6</v>
      </c>
      <c r="G101" s="41">
        <v>19.3</v>
      </c>
      <c r="H101" s="41">
        <v>12.3</v>
      </c>
      <c r="I101" s="41">
        <v>12.3</v>
      </c>
      <c r="J101" s="41">
        <v>23.8</v>
      </c>
      <c r="K101" s="43" t="s">
        <v>246</v>
      </c>
      <c r="L101" s="11"/>
      <c r="M101" s="51">
        <f>LEFT(E101,6)&amp;"數值"</f>
      </c>
    </row>
    <row x14ac:dyDescent="0.25" r="102" customHeight="1" ht="18.75">
      <c r="A102" s="1" t="s">
        <v>247</v>
      </c>
      <c r="B102" s="1"/>
      <c r="C102" s="1" t="s">
        <v>346</v>
      </c>
      <c r="D102" s="2"/>
      <c r="E102" s="43" t="s">
        <v>346</v>
      </c>
      <c r="F102" s="41">
        <v>15.6</v>
      </c>
      <c r="G102" s="48">
        <v>18</v>
      </c>
      <c r="H102" s="48">
        <v>10</v>
      </c>
      <c r="I102" s="41">
        <v>10.8</v>
      </c>
      <c r="J102" s="41">
        <v>21.2</v>
      </c>
      <c r="K102" s="43" t="s">
        <v>246</v>
      </c>
      <c r="L102" s="11"/>
      <c r="M102" s="51">
        <f>LEFT(E102,6)&amp;"數值"</f>
      </c>
    </row>
    <row x14ac:dyDescent="0.25" r="103" customHeight="1" ht="18.75">
      <c r="A103" s="1" t="s">
        <v>247</v>
      </c>
      <c r="B103" s="1"/>
      <c r="C103" s="1" t="s">
        <v>347</v>
      </c>
      <c r="D103" s="2"/>
      <c r="E103" s="43" t="s">
        <v>347</v>
      </c>
      <c r="F103" s="41">
        <v>15.7</v>
      </c>
      <c r="G103" s="41">
        <v>16.2</v>
      </c>
      <c r="H103" s="41">
        <v>13.1</v>
      </c>
      <c r="I103" s="41">
        <v>8.5</v>
      </c>
      <c r="J103" s="41">
        <v>22.4</v>
      </c>
      <c r="K103" s="43" t="s">
        <v>246</v>
      </c>
      <c r="L103" s="11"/>
      <c r="M103" s="51">
        <f>LEFT(E103,6)&amp;"數值"</f>
      </c>
    </row>
    <row x14ac:dyDescent="0.25" r="104" customHeight="1" ht="18.75">
      <c r="A104" s="1" t="s">
        <v>247</v>
      </c>
      <c r="B104" s="1"/>
      <c r="C104" s="1" t="s">
        <v>348</v>
      </c>
      <c r="D104" s="2"/>
      <c r="E104" s="43" t="s">
        <v>348</v>
      </c>
      <c r="F104" s="41">
        <v>14.8</v>
      </c>
      <c r="G104" s="41">
        <v>15.1</v>
      </c>
      <c r="H104" s="41">
        <v>12.5</v>
      </c>
      <c r="I104" s="41">
        <v>7.4</v>
      </c>
      <c r="J104" s="41">
        <v>22.2</v>
      </c>
      <c r="K104" s="43" t="s">
        <v>246</v>
      </c>
      <c r="L104" s="11"/>
      <c r="M104" s="51">
        <f>LEFT(E104,6)&amp;"數值"</f>
      </c>
    </row>
    <row x14ac:dyDescent="0.25" r="105" customHeight="1" ht="18.75">
      <c r="A105" s="1" t="s">
        <v>247</v>
      </c>
      <c r="B105" s="1"/>
      <c r="C105" s="1" t="s">
        <v>349</v>
      </c>
      <c r="D105" s="2"/>
      <c r="E105" s="43" t="s">
        <v>349</v>
      </c>
      <c r="F105" s="41">
        <v>14.3</v>
      </c>
      <c r="G105" s="41">
        <v>14.9</v>
      </c>
      <c r="H105" s="41">
        <v>11.6</v>
      </c>
      <c r="I105" s="41">
        <v>6.5</v>
      </c>
      <c r="J105" s="41">
        <v>21.9</v>
      </c>
      <c r="K105" s="43" t="s">
        <v>246</v>
      </c>
      <c r="L105" s="11"/>
      <c r="M105" s="51">
        <f>LEFT(E105,6)&amp;"數值"</f>
      </c>
    </row>
    <row x14ac:dyDescent="0.25" r="106" customHeight="1" ht="18.75">
      <c r="A106" s="1" t="s">
        <v>247</v>
      </c>
      <c r="B106" s="1"/>
      <c r="C106" s="1" t="s">
        <v>350</v>
      </c>
      <c r="D106" s="2"/>
      <c r="E106" s="43" t="s">
        <v>350</v>
      </c>
      <c r="F106" s="41">
        <v>13.7</v>
      </c>
      <c r="G106" s="41">
        <v>14.2</v>
      </c>
      <c r="H106" s="48">
        <v>11</v>
      </c>
      <c r="I106" s="41">
        <v>6.3</v>
      </c>
      <c r="J106" s="48">
        <v>21</v>
      </c>
      <c r="K106" s="43" t="s">
        <v>246</v>
      </c>
      <c r="L106" s="11"/>
      <c r="M106" s="51">
        <f>LEFT(E106,6)&amp;"數值"</f>
      </c>
    </row>
    <row x14ac:dyDescent="0.25" r="107" customHeight="1" ht="18.75">
      <c r="A107" s="1" t="s">
        <v>247</v>
      </c>
      <c r="B107" s="1"/>
      <c r="C107" s="1" t="s">
        <v>351</v>
      </c>
      <c r="D107" s="2"/>
      <c r="E107" s="43" t="s">
        <v>351</v>
      </c>
      <c r="F107" s="41">
        <v>13.6</v>
      </c>
      <c r="G107" s="48">
        <v>14</v>
      </c>
      <c r="H107" s="41">
        <v>11.2</v>
      </c>
      <c r="I107" s="41">
        <v>6.2</v>
      </c>
      <c r="J107" s="41">
        <v>21.8</v>
      </c>
      <c r="K107" s="43" t="s">
        <v>246</v>
      </c>
      <c r="L107" s="11"/>
      <c r="M107" s="51">
        <f>LEFT(E107,6)&amp;"數值"</f>
      </c>
    </row>
    <row x14ac:dyDescent="0.25" r="108" customHeight="1" ht="18.75">
      <c r="A108" s="1" t="s">
        <v>247</v>
      </c>
      <c r="B108" s="1"/>
      <c r="C108" s="1" t="s">
        <v>352</v>
      </c>
      <c r="D108" s="2"/>
      <c r="E108" s="43" t="s">
        <v>352</v>
      </c>
      <c r="F108" s="41">
        <v>13.6</v>
      </c>
      <c r="G108" s="41">
        <v>13.8</v>
      </c>
      <c r="H108" s="41">
        <v>11.6</v>
      </c>
      <c r="I108" s="41">
        <v>6.2</v>
      </c>
      <c r="J108" s="41">
        <v>22.5</v>
      </c>
      <c r="K108" s="43" t="s">
        <v>246</v>
      </c>
      <c r="L108" s="11"/>
      <c r="M108" s="51">
        <f>LEFT(E108,6)&amp;"數值"</f>
      </c>
    </row>
    <row x14ac:dyDescent="0.25" r="109" customHeight="1" ht="18.75">
      <c r="A109" s="1" t="s">
        <v>247</v>
      </c>
      <c r="B109" s="1"/>
      <c r="C109" s="1" t="s">
        <v>353</v>
      </c>
      <c r="D109" s="2"/>
      <c r="E109" s="43" t="s">
        <v>353</v>
      </c>
      <c r="F109" s="41">
        <v>14.2</v>
      </c>
      <c r="G109" s="41">
        <v>14.5</v>
      </c>
      <c r="H109" s="41">
        <v>12.3</v>
      </c>
      <c r="I109" s="41">
        <v>6.9</v>
      </c>
      <c r="J109" s="41">
        <v>23.6</v>
      </c>
      <c r="K109" s="43" t="s">
        <v>246</v>
      </c>
      <c r="L109" s="11"/>
      <c r="M109" s="51">
        <f>LEFT(E109,6)&amp;"數值"</f>
      </c>
    </row>
    <row x14ac:dyDescent="0.25" r="110" customHeight="1" ht="18.75">
      <c r="A110" s="1" t="s">
        <v>247</v>
      </c>
      <c r="B110" s="1"/>
      <c r="C110" s="1" t="s">
        <v>354</v>
      </c>
      <c r="D110" s="2"/>
      <c r="E110" s="43" t="s">
        <v>354</v>
      </c>
      <c r="F110" s="41">
        <v>13.6</v>
      </c>
      <c r="G110" s="41">
        <v>13.8</v>
      </c>
      <c r="H110" s="41">
        <v>11.9</v>
      </c>
      <c r="I110" s="41">
        <v>7.7</v>
      </c>
      <c r="J110" s="41">
        <v>18.7</v>
      </c>
      <c r="K110" s="43" t="s">
        <v>246</v>
      </c>
      <c r="L110" s="11"/>
      <c r="M110" s="51">
        <f>LEFT(E110,6)&amp;"數值"</f>
      </c>
    </row>
    <row x14ac:dyDescent="0.25" r="111" customHeight="1" ht="18.75">
      <c r="A111" s="1" t="s">
        <v>247</v>
      </c>
      <c r="B111" s="1"/>
      <c r="C111" s="1" t="s">
        <v>355</v>
      </c>
      <c r="D111" s="2"/>
      <c r="E111" s="43" t="s">
        <v>355</v>
      </c>
      <c r="F111" s="41">
        <v>13.4</v>
      </c>
      <c r="G111" s="41">
        <v>13.4</v>
      </c>
      <c r="H111" s="41">
        <v>12.4</v>
      </c>
      <c r="I111" s="41">
        <v>7.8</v>
      </c>
      <c r="J111" s="41">
        <v>18.7</v>
      </c>
      <c r="K111" s="43" t="s">
        <v>246</v>
      </c>
      <c r="L111" s="11"/>
      <c r="M111" s="51">
        <f>LEFT(E111,6)&amp;"數值"</f>
      </c>
    </row>
    <row x14ac:dyDescent="0.25" r="112" customHeight="1" ht="18.75">
      <c r="A112" s="1" t="s">
        <v>247</v>
      </c>
      <c r="B112" s="1"/>
      <c r="C112" s="1" t="s">
        <v>356</v>
      </c>
      <c r="D112" s="2"/>
      <c r="E112" s="43" t="s">
        <v>356</v>
      </c>
      <c r="F112" s="41">
        <v>13.2</v>
      </c>
      <c r="G112" s="41">
        <v>12.9</v>
      </c>
      <c r="H112" s="41">
        <v>12.4</v>
      </c>
      <c r="I112" s="41">
        <v>7.3</v>
      </c>
      <c r="J112" s="41">
        <v>19.1</v>
      </c>
      <c r="K112" s="43" t="s">
        <v>246</v>
      </c>
      <c r="L112" s="11"/>
      <c r="M112" s="51">
        <f>LEFT(E112,6)&amp;"數值"</f>
      </c>
    </row>
    <row x14ac:dyDescent="0.25" r="113" customHeight="1" ht="18.75">
      <c r="A113" s="1" t="s">
        <v>247</v>
      </c>
      <c r="B113" s="1"/>
      <c r="C113" s="1" t="s">
        <v>357</v>
      </c>
      <c r="D113" s="2"/>
      <c r="E113" s="43" t="s">
        <v>357</v>
      </c>
      <c r="F113" s="48">
        <v>12</v>
      </c>
      <c r="G113" s="41">
        <v>11.6</v>
      </c>
      <c r="H113" s="41">
        <v>11.8</v>
      </c>
      <c r="I113" s="41">
        <v>7.1</v>
      </c>
      <c r="J113" s="41">
        <v>17.3</v>
      </c>
      <c r="K113" s="43" t="s">
        <v>246</v>
      </c>
      <c r="L113" s="11"/>
      <c r="M113" s="51">
        <f>LEFT(E113,6)&amp;"數值"</f>
      </c>
    </row>
    <row x14ac:dyDescent="0.25" r="114" customHeight="1" ht="18.75">
      <c r="A114" s="1" t="s">
        <v>247</v>
      </c>
      <c r="B114" s="1"/>
      <c r="C114" s="1" t="s">
        <v>358</v>
      </c>
      <c r="D114" s="2"/>
      <c r="E114" s="43" t="s">
        <v>358</v>
      </c>
      <c r="F114" s="41">
        <v>12.2</v>
      </c>
      <c r="G114" s="41">
        <v>11.6</v>
      </c>
      <c r="H114" s="41">
        <v>12.4</v>
      </c>
      <c r="I114" s="41">
        <v>6.9</v>
      </c>
      <c r="J114" s="41">
        <v>18.2</v>
      </c>
      <c r="K114" s="43" t="s">
        <v>246</v>
      </c>
      <c r="L114" s="11"/>
      <c r="M114" s="51">
        <f>LEFT(E114,6)&amp;"數值"</f>
      </c>
    </row>
    <row x14ac:dyDescent="0.25" r="115" customHeight="1" ht="18.75">
      <c r="A115" s="1" t="s">
        <v>247</v>
      </c>
      <c r="B115" s="1"/>
      <c r="C115" s="1" t="s">
        <v>359</v>
      </c>
      <c r="D115" s="2"/>
      <c r="E115" s="43" t="s">
        <v>359</v>
      </c>
      <c r="F115" s="41">
        <v>10.9</v>
      </c>
      <c r="G115" s="41">
        <v>10.1</v>
      </c>
      <c r="H115" s="41">
        <v>11.4</v>
      </c>
      <c r="I115" s="48">
        <v>5</v>
      </c>
      <c r="J115" s="41">
        <v>15.5</v>
      </c>
      <c r="K115" s="43" t="s">
        <v>246</v>
      </c>
      <c r="L115" s="11"/>
      <c r="M115" s="51">
        <f>LEFT(E115,6)&amp;"數值"</f>
      </c>
    </row>
    <row x14ac:dyDescent="0.25" r="116" customHeight="1" ht="18.75">
      <c r="A116" s="1" t="s">
        <v>247</v>
      </c>
      <c r="B116" s="1"/>
      <c r="C116" s="1" t="s">
        <v>360</v>
      </c>
      <c r="D116" s="2"/>
      <c r="E116" s="43" t="s">
        <v>360</v>
      </c>
      <c r="F116" s="41">
        <v>10.9</v>
      </c>
      <c r="G116" s="41">
        <v>10.1</v>
      </c>
      <c r="H116" s="41">
        <v>11.7</v>
      </c>
      <c r="I116" s="41">
        <v>5.2</v>
      </c>
      <c r="J116" s="41">
        <v>16.7</v>
      </c>
      <c r="K116" s="43" t="s">
        <v>246</v>
      </c>
      <c r="L116" s="11"/>
      <c r="M116" s="51">
        <f>LEFT(E116,6)&amp;"數值"</f>
      </c>
    </row>
    <row x14ac:dyDescent="0.25" r="117" customHeight="1" ht="18.75">
      <c r="A117" s="1" t="s">
        <v>247</v>
      </c>
      <c r="B117" s="1"/>
      <c r="C117" s="1" t="s">
        <v>361</v>
      </c>
      <c r="D117" s="2"/>
      <c r="E117" s="43" t="s">
        <v>361</v>
      </c>
      <c r="F117" s="41">
        <v>11.2</v>
      </c>
      <c r="G117" s="41">
        <v>10.1</v>
      </c>
      <c r="H117" s="41">
        <v>12.7</v>
      </c>
      <c r="I117" s="41">
        <v>5.2</v>
      </c>
      <c r="J117" s="41">
        <v>18.7</v>
      </c>
      <c r="K117" s="43" t="s">
        <v>246</v>
      </c>
      <c r="L117" s="11"/>
      <c r="M117" s="51">
        <f>LEFT(E117,6)&amp;"數值"</f>
      </c>
    </row>
    <row x14ac:dyDescent="0.25" r="118" customHeight="1" ht="18.75">
      <c r="A118" s="1" t="s">
        <v>247</v>
      </c>
      <c r="B118" s="1"/>
      <c r="C118" s="1" t="s">
        <v>362</v>
      </c>
      <c r="D118" s="2"/>
      <c r="E118" s="43" t="s">
        <v>362</v>
      </c>
      <c r="F118" s="48">
        <v>10</v>
      </c>
      <c r="G118" s="41">
        <v>8.9</v>
      </c>
      <c r="H118" s="41">
        <v>11.2</v>
      </c>
      <c r="I118" s="41">
        <v>4.4</v>
      </c>
      <c r="J118" s="41">
        <v>16.4</v>
      </c>
      <c r="K118" s="43" t="s">
        <v>246</v>
      </c>
      <c r="L118" s="11"/>
      <c r="M118" s="51">
        <f>LEFT(E118,6)&amp;"數值"</f>
      </c>
    </row>
    <row x14ac:dyDescent="0.25" r="119" customHeight="1" ht="18.75">
      <c r="A119" s="1" t="s">
        <v>247</v>
      </c>
      <c r="B119" s="1"/>
      <c r="C119" s="1" t="s">
        <v>363</v>
      </c>
      <c r="D119" s="2"/>
      <c r="E119" s="43" t="s">
        <v>363</v>
      </c>
      <c r="F119" s="41">
        <v>9.8</v>
      </c>
      <c r="G119" s="41">
        <v>8.8</v>
      </c>
      <c r="H119" s="41">
        <v>11.4</v>
      </c>
      <c r="I119" s="41">
        <v>4.7</v>
      </c>
      <c r="J119" s="41">
        <v>15.7</v>
      </c>
      <c r="K119" s="43" t="s">
        <v>246</v>
      </c>
      <c r="L119" s="11"/>
      <c r="M119" s="51">
        <f>LEFT(E119,6)&amp;"數值"</f>
      </c>
    </row>
    <row x14ac:dyDescent="0.25" r="120" customHeight="1" ht="18.75">
      <c r="A120" s="1" t="s">
        <v>247</v>
      </c>
      <c r="B120" s="1"/>
      <c r="C120" s="1" t="s">
        <v>364</v>
      </c>
      <c r="D120" s="2"/>
      <c r="E120" s="43" t="s">
        <v>364</v>
      </c>
      <c r="F120" s="41">
        <v>11.3</v>
      </c>
      <c r="G120" s="41">
        <v>10.5</v>
      </c>
      <c r="H120" s="41">
        <v>12.4</v>
      </c>
      <c r="I120" s="41">
        <v>5.4</v>
      </c>
      <c r="J120" s="41">
        <v>17.6</v>
      </c>
      <c r="K120" s="43" t="s">
        <v>246</v>
      </c>
      <c r="L120" s="11"/>
      <c r="M120" s="51">
        <f>LEFT(E120,6)&amp;"數值"</f>
      </c>
    </row>
    <row x14ac:dyDescent="0.25" r="121" customHeight="1" ht="18.75">
      <c r="A121" s="1" t="s">
        <v>247</v>
      </c>
      <c r="B121" s="1"/>
      <c r="C121" s="1" t="s">
        <v>365</v>
      </c>
      <c r="D121" s="2"/>
      <c r="E121" s="43" t="s">
        <v>365</v>
      </c>
      <c r="F121" s="41">
        <v>10.9</v>
      </c>
      <c r="G121" s="41">
        <v>9.9</v>
      </c>
      <c r="H121" s="41">
        <v>12.6</v>
      </c>
      <c r="I121" s="48">
        <v>7</v>
      </c>
      <c r="J121" s="48">
        <v>17</v>
      </c>
      <c r="K121" s="43" t="s">
        <v>246</v>
      </c>
      <c r="L121" s="11"/>
      <c r="M121" s="51">
        <f>LEFT(E121,6)&amp;"數值"</f>
      </c>
    </row>
    <row x14ac:dyDescent="0.25" r="122" customHeight="1" ht="18.75">
      <c r="A122" s="1" t="s">
        <v>247</v>
      </c>
      <c r="B122" s="1"/>
      <c r="C122" s="1" t="s">
        <v>366</v>
      </c>
      <c r="D122" s="2"/>
      <c r="E122" s="43" t="s">
        <v>366</v>
      </c>
      <c r="F122" s="41">
        <v>14.2</v>
      </c>
      <c r="G122" s="41">
        <v>13.8</v>
      </c>
      <c r="H122" s="41">
        <v>14.5</v>
      </c>
      <c r="I122" s="41">
        <v>10.6</v>
      </c>
      <c r="J122" s="41">
        <v>19.1</v>
      </c>
      <c r="K122" s="43" t="s">
        <v>246</v>
      </c>
      <c r="L122" s="11"/>
      <c r="M122" s="51">
        <f>LEFT(E122,6)&amp;"數值"</f>
      </c>
    </row>
    <row x14ac:dyDescent="0.25" r="123" customHeight="1" ht="18.75">
      <c r="A123" s="1" t="s">
        <v>247</v>
      </c>
      <c r="B123" s="1"/>
      <c r="C123" s="1" t="s">
        <v>367</v>
      </c>
      <c r="D123" s="2"/>
      <c r="E123" s="43" t="s">
        <v>367</v>
      </c>
      <c r="F123" s="41">
        <v>14.7</v>
      </c>
      <c r="G123" s="48">
        <v>14</v>
      </c>
      <c r="H123" s="41">
        <v>15.6</v>
      </c>
      <c r="I123" s="41">
        <v>11.2</v>
      </c>
      <c r="J123" s="41">
        <v>20.4</v>
      </c>
      <c r="K123" s="43" t="s">
        <v>246</v>
      </c>
      <c r="L123" s="11"/>
      <c r="M123" s="51">
        <f>LEFT(E123,6)&amp;"數值"</f>
      </c>
    </row>
    <row x14ac:dyDescent="0.25" r="124" customHeight="1" ht="18.75">
      <c r="A124" s="1" t="s">
        <v>247</v>
      </c>
      <c r="B124" s="1"/>
      <c r="C124" s="1" t="s">
        <v>368</v>
      </c>
      <c r="D124" s="2"/>
      <c r="E124" s="43" t="s">
        <v>368</v>
      </c>
      <c r="F124" s="41">
        <v>15.7</v>
      </c>
      <c r="G124" s="48">
        <v>15</v>
      </c>
      <c r="H124" s="41">
        <v>17.1</v>
      </c>
      <c r="I124" s="41">
        <v>12.1</v>
      </c>
      <c r="J124" s="41">
        <v>21.5</v>
      </c>
      <c r="K124" s="43" t="s">
        <v>246</v>
      </c>
      <c r="L124" s="11"/>
      <c r="M124" s="51">
        <f>LEFT(E124,6)&amp;"數值"</f>
      </c>
    </row>
    <row x14ac:dyDescent="0.25" r="125" customHeight="1" ht="18.75">
      <c r="A125" s="1" t="s">
        <v>247</v>
      </c>
      <c r="B125" s="1"/>
      <c r="C125" s="1" t="s">
        <v>369</v>
      </c>
      <c r="D125" s="2"/>
      <c r="E125" s="43" t="s">
        <v>369</v>
      </c>
      <c r="F125" s="41">
        <v>16.3</v>
      </c>
      <c r="G125" s="41">
        <v>15.6</v>
      </c>
      <c r="H125" s="41">
        <v>17.8</v>
      </c>
      <c r="I125" s="41">
        <v>12.8</v>
      </c>
      <c r="J125" s="41">
        <v>21.5</v>
      </c>
      <c r="K125" s="43" t="s">
        <v>246</v>
      </c>
      <c r="L125" s="11"/>
      <c r="M125" s="51">
        <f>LEFT(E125,6)&amp;"數值"</f>
      </c>
    </row>
    <row x14ac:dyDescent="0.25" r="126" customHeight="1" ht="18.75">
      <c r="A126" s="1" t="s">
        <v>247</v>
      </c>
      <c r="B126" s="1"/>
      <c r="C126" s="1" t="s">
        <v>370</v>
      </c>
      <c r="D126" s="2"/>
      <c r="E126" s="43" t="s">
        <v>370</v>
      </c>
      <c r="F126" s="41">
        <v>18.3</v>
      </c>
      <c r="G126" s="41">
        <v>17.1</v>
      </c>
      <c r="H126" s="41">
        <v>20.8</v>
      </c>
      <c r="I126" s="48">
        <v>15</v>
      </c>
      <c r="J126" s="41">
        <v>25.2</v>
      </c>
      <c r="K126" s="43" t="s">
        <v>246</v>
      </c>
      <c r="L126" s="11"/>
      <c r="M126" s="51">
        <f>LEFT(E126,6)&amp;"數值"</f>
      </c>
    </row>
    <row x14ac:dyDescent="0.25" r="127" customHeight="1" ht="18.75">
      <c r="A127" s="1" t="s">
        <v>247</v>
      </c>
      <c r="B127" s="1"/>
      <c r="C127" s="1" t="s">
        <v>371</v>
      </c>
      <c r="D127" s="2"/>
      <c r="E127" s="43" t="s">
        <v>371</v>
      </c>
      <c r="F127" s="41">
        <v>18.9</v>
      </c>
      <c r="G127" s="41">
        <v>17.4</v>
      </c>
      <c r="H127" s="41">
        <v>22.5</v>
      </c>
      <c r="I127" s="41">
        <v>15.7</v>
      </c>
      <c r="J127" s="41">
        <v>26.5</v>
      </c>
      <c r="K127" s="43" t="s">
        <v>246</v>
      </c>
      <c r="L127" s="11"/>
      <c r="M127" s="51">
        <f>LEFT(E127,6)&amp;"數值"</f>
      </c>
    </row>
    <row x14ac:dyDescent="0.25" r="128" customHeight="1" ht="18.75">
      <c r="A128" s="1" t="s">
        <v>247</v>
      </c>
      <c r="B128" s="1"/>
      <c r="C128" s="1" t="s">
        <v>372</v>
      </c>
      <c r="D128" s="2"/>
      <c r="E128" s="43" t="s">
        <v>372</v>
      </c>
      <c r="F128" s="41">
        <v>19.7</v>
      </c>
      <c r="G128" s="41">
        <v>18.1</v>
      </c>
      <c r="H128" s="41">
        <v>23.9</v>
      </c>
      <c r="I128" s="41">
        <v>17.2</v>
      </c>
      <c r="J128" s="41">
        <v>26.2</v>
      </c>
      <c r="K128" s="43" t="s">
        <v>246</v>
      </c>
      <c r="L128" s="11"/>
      <c r="M128" s="51">
        <f>LEFT(E128,6)&amp;"數值"</f>
      </c>
    </row>
    <row x14ac:dyDescent="0.25" r="129" customHeight="1" ht="18.75">
      <c r="A129" s="1" t="s">
        <v>247</v>
      </c>
      <c r="B129" s="1"/>
      <c r="C129" s="1" t="s">
        <v>373</v>
      </c>
      <c r="D129" s="2"/>
      <c r="E129" s="43" t="s">
        <v>373</v>
      </c>
      <c r="F129" s="41">
        <v>19.2</v>
      </c>
      <c r="G129" s="41">
        <v>17.5</v>
      </c>
      <c r="H129" s="41">
        <v>23.1</v>
      </c>
      <c r="I129" s="41">
        <v>16.7</v>
      </c>
      <c r="J129" s="41">
        <v>26.3</v>
      </c>
      <c r="K129" s="43" t="s">
        <v>246</v>
      </c>
      <c r="L129" s="11"/>
      <c r="M129" s="51">
        <f>LEFT(E129,6)&amp;"數值"</f>
      </c>
    </row>
    <row x14ac:dyDescent="0.25" r="130" customHeight="1" ht="18.75">
      <c r="A130" s="1" t="s">
        <v>247</v>
      </c>
      <c r="B130" s="1"/>
      <c r="C130" s="1" t="s">
        <v>374</v>
      </c>
      <c r="D130" s="2"/>
      <c r="E130" s="43" t="s">
        <v>374</v>
      </c>
      <c r="F130" s="41">
        <v>18.9</v>
      </c>
      <c r="G130" s="41">
        <v>17.2</v>
      </c>
      <c r="H130" s="41">
        <v>23.4</v>
      </c>
      <c r="I130" s="41">
        <v>16.6</v>
      </c>
      <c r="J130" s="41">
        <v>26.7</v>
      </c>
      <c r="K130" s="43" t="s">
        <v>246</v>
      </c>
      <c r="L130" s="11"/>
      <c r="M130" s="51">
        <f>LEFT(E130,6)&amp;"數值"</f>
      </c>
    </row>
    <row x14ac:dyDescent="0.25" r="131" customHeight="1" ht="18.75">
      <c r="A131" s="1" t="s">
        <v>247</v>
      </c>
      <c r="B131" s="1"/>
      <c r="C131" s="1" t="s">
        <v>375</v>
      </c>
      <c r="D131" s="2"/>
      <c r="E131" s="43" t="s">
        <v>375</v>
      </c>
      <c r="F131" s="41">
        <v>18.3</v>
      </c>
      <c r="G131" s="41">
        <v>16.6</v>
      </c>
      <c r="H131" s="41">
        <v>22.6</v>
      </c>
      <c r="I131" s="48">
        <v>16</v>
      </c>
      <c r="J131" s="41">
        <v>26.4</v>
      </c>
      <c r="K131" s="43" t="s">
        <v>246</v>
      </c>
      <c r="L131" s="11"/>
      <c r="M131" s="51">
        <f>LEFT(E131,6)&amp;"數值"</f>
      </c>
    </row>
    <row x14ac:dyDescent="0.25" r="132" customHeight="1" ht="18.75">
      <c r="A132" s="1" t="s">
        <v>247</v>
      </c>
      <c r="B132" s="1"/>
      <c r="C132" s="1" t="s">
        <v>376</v>
      </c>
      <c r="D132" s="2"/>
      <c r="E132" s="43" t="s">
        <v>376</v>
      </c>
      <c r="F132" s="41">
        <v>19.7</v>
      </c>
      <c r="G132" s="41">
        <v>17.8</v>
      </c>
      <c r="H132" s="41">
        <v>24.5</v>
      </c>
      <c r="I132" s="41">
        <v>16.9</v>
      </c>
      <c r="J132" s="41">
        <v>29.2</v>
      </c>
      <c r="K132" s="43" t="s">
        <v>246</v>
      </c>
      <c r="L132" s="11"/>
      <c r="M132" s="51">
        <f>LEFT(E132,6)&amp;"數值"</f>
      </c>
    </row>
    <row x14ac:dyDescent="0.25" r="133" customHeight="1" ht="18.75">
      <c r="A133" s="1" t="s">
        <v>247</v>
      </c>
      <c r="B133" s="1"/>
      <c r="C133" s="1" t="s">
        <v>377</v>
      </c>
      <c r="D133" s="2"/>
      <c r="E133" s="43" t="s">
        <v>377</v>
      </c>
      <c r="F133" s="41">
        <v>20.4</v>
      </c>
      <c r="G133" s="41">
        <v>18.4</v>
      </c>
      <c r="H133" s="41">
        <v>25.5</v>
      </c>
      <c r="I133" s="41">
        <v>17.7</v>
      </c>
      <c r="J133" s="41">
        <v>29.8</v>
      </c>
      <c r="K133" s="43" t="s">
        <v>246</v>
      </c>
      <c r="L133" s="11"/>
      <c r="M133" s="51">
        <f>LEFT(E133,6)&amp;"數值"</f>
      </c>
    </row>
    <row x14ac:dyDescent="0.25" r="134" customHeight="1" ht="18.75">
      <c r="A134" s="1" t="s">
        <v>247</v>
      </c>
      <c r="B134" s="1"/>
      <c r="C134" s="1" t="s">
        <v>378</v>
      </c>
      <c r="D134" s="2"/>
      <c r="E134" s="43" t="s">
        <v>378</v>
      </c>
      <c r="F134" s="41">
        <v>17.2</v>
      </c>
      <c r="G134" s="48">
        <v>16</v>
      </c>
      <c r="H134" s="41">
        <v>19.2</v>
      </c>
      <c r="I134" s="41">
        <v>14.5</v>
      </c>
      <c r="J134" s="41">
        <v>23.4</v>
      </c>
      <c r="K134" s="43" t="s">
        <v>246</v>
      </c>
      <c r="L134" s="11"/>
      <c r="M134" s="51">
        <f>LEFT(E134,6)&amp;"數值"</f>
      </c>
    </row>
    <row x14ac:dyDescent="0.25" r="135" customHeight="1" ht="18.75">
      <c r="A135" s="1" t="s">
        <v>247</v>
      </c>
      <c r="B135" s="1"/>
      <c r="C135" s="1" t="s">
        <v>379</v>
      </c>
      <c r="D135" s="2"/>
      <c r="E135" s="43" t="s">
        <v>379</v>
      </c>
      <c r="F135" s="41">
        <v>18.4</v>
      </c>
      <c r="G135" s="41">
        <v>17.1</v>
      </c>
      <c r="H135" s="41">
        <v>20.9</v>
      </c>
      <c r="I135" s="41">
        <v>15.1</v>
      </c>
      <c r="J135" s="41">
        <v>24.9</v>
      </c>
      <c r="K135" s="43" t="s">
        <v>246</v>
      </c>
      <c r="L135" s="11"/>
      <c r="M135" s="51">
        <f>LEFT(E135,6)&amp;"數值"</f>
      </c>
    </row>
    <row x14ac:dyDescent="0.25" r="136" customHeight="1" ht="18.75">
      <c r="A136" s="1" t="s">
        <v>247</v>
      </c>
      <c r="B136" s="1"/>
      <c r="C136" s="1" t="s">
        <v>380</v>
      </c>
      <c r="D136" s="2"/>
      <c r="E136" s="43" t="s">
        <v>380</v>
      </c>
      <c r="F136" s="41">
        <v>19.7</v>
      </c>
      <c r="G136" s="41">
        <v>18.8</v>
      </c>
      <c r="H136" s="41">
        <v>20.8</v>
      </c>
      <c r="I136" s="41">
        <v>16.6</v>
      </c>
      <c r="J136" s="41">
        <v>25.4</v>
      </c>
      <c r="K136" s="43" t="s">
        <v>246</v>
      </c>
      <c r="L136" s="11"/>
      <c r="M136" s="51">
        <f>LEFT(E136,6)&amp;"數值"</f>
      </c>
    </row>
    <row x14ac:dyDescent="0.25" r="137" customHeight="1" ht="18.75">
      <c r="A137" s="1" t="s">
        <v>247</v>
      </c>
      <c r="B137" s="1"/>
      <c r="C137" s="1" t="s">
        <v>381</v>
      </c>
      <c r="D137" s="2"/>
      <c r="E137" s="43" t="s">
        <v>381</v>
      </c>
      <c r="F137" s="41">
        <v>19.5</v>
      </c>
      <c r="G137" s="41">
        <v>18.4</v>
      </c>
      <c r="H137" s="41">
        <v>20.7</v>
      </c>
      <c r="I137" s="41">
        <v>16.1</v>
      </c>
      <c r="J137" s="41">
        <v>25.2</v>
      </c>
      <c r="K137" s="43" t="s">
        <v>246</v>
      </c>
      <c r="L137" s="11"/>
      <c r="M137" s="51">
        <f>LEFT(E137,6)&amp;"數值"</f>
      </c>
    </row>
    <row x14ac:dyDescent="0.25" r="138" customHeight="1" ht="18.75">
      <c r="A138" s="1" t="s">
        <v>247</v>
      </c>
      <c r="B138" s="1"/>
      <c r="C138" s="1" t="s">
        <v>382</v>
      </c>
      <c r="D138" s="2"/>
      <c r="E138" s="43" t="s">
        <v>382</v>
      </c>
      <c r="F138" s="41">
        <v>19.7</v>
      </c>
      <c r="G138" s="41">
        <v>19.1</v>
      </c>
      <c r="H138" s="41">
        <v>19.9</v>
      </c>
      <c r="I138" s="41">
        <v>17.1</v>
      </c>
      <c r="J138" s="41">
        <v>26.3</v>
      </c>
      <c r="K138" s="43" t="s">
        <v>246</v>
      </c>
      <c r="L138" s="11"/>
      <c r="M138" s="51">
        <f>LEFT(E138,6)&amp;"數值"</f>
      </c>
    </row>
    <row x14ac:dyDescent="0.25" r="139" customHeight="1" ht="18.75">
      <c r="A139" s="1" t="s">
        <v>247</v>
      </c>
      <c r="B139" s="1"/>
      <c r="C139" s="1" t="s">
        <v>383</v>
      </c>
      <c r="D139" s="2"/>
      <c r="E139" s="43" t="s">
        <v>383</v>
      </c>
      <c r="F139" s="41">
        <v>21.2</v>
      </c>
      <c r="G139" s="41">
        <v>21.2</v>
      </c>
      <c r="H139" s="41">
        <v>19.7</v>
      </c>
      <c r="I139" s="41">
        <v>17.5</v>
      </c>
      <c r="J139" s="41">
        <v>27.8</v>
      </c>
      <c r="K139" s="43" t="s">
        <v>246</v>
      </c>
      <c r="L139" s="11"/>
      <c r="M139" s="51">
        <f>LEFT(E139,6)&amp;"數值"</f>
      </c>
    </row>
    <row x14ac:dyDescent="0.25" r="140" customHeight="1" ht="18.75">
      <c r="A140" s="1" t="s">
        <v>247</v>
      </c>
      <c r="B140" s="1"/>
      <c r="C140" s="1" t="s">
        <v>384</v>
      </c>
      <c r="D140" s="2"/>
      <c r="E140" s="43" t="s">
        <v>384</v>
      </c>
      <c r="F140" s="48">
        <v>20</v>
      </c>
      <c r="G140" s="48">
        <v>20</v>
      </c>
      <c r="H140" s="41">
        <v>18.4</v>
      </c>
      <c r="I140" s="41">
        <v>16.3</v>
      </c>
      <c r="J140" s="41">
        <v>26.6</v>
      </c>
      <c r="K140" s="43" t="s">
        <v>246</v>
      </c>
      <c r="L140" s="11"/>
      <c r="M140" s="51">
        <f>LEFT(E140,6)&amp;"數值"</f>
      </c>
    </row>
    <row x14ac:dyDescent="0.25" r="141" customHeight="1" ht="18.75">
      <c r="A141" s="1" t="s">
        <v>247</v>
      </c>
      <c r="B141" s="1"/>
      <c r="C141" s="1" t="s">
        <v>385</v>
      </c>
      <c r="D141" s="2"/>
      <c r="E141" s="43" t="s">
        <v>385</v>
      </c>
      <c r="F141" s="41">
        <v>19.5</v>
      </c>
      <c r="G141" s="41">
        <v>19.5</v>
      </c>
      <c r="H141" s="41">
        <v>18.1</v>
      </c>
      <c r="I141" s="41">
        <v>15.8</v>
      </c>
      <c r="J141" s="41">
        <v>27.6</v>
      </c>
      <c r="K141" s="43" t="s">
        <v>246</v>
      </c>
      <c r="L141" s="11"/>
      <c r="M141" s="51">
        <f>LEFT(E141,6)&amp;"數值"</f>
      </c>
    </row>
    <row x14ac:dyDescent="0.25" r="142" customHeight="1" ht="18.75">
      <c r="A142" s="1" t="s">
        <v>247</v>
      </c>
      <c r="B142" s="1"/>
      <c r="C142" s="1" t="s">
        <v>386</v>
      </c>
      <c r="D142" s="2"/>
      <c r="E142" s="43" t="s">
        <v>386</v>
      </c>
      <c r="F142" s="48">
        <v>19</v>
      </c>
      <c r="G142" s="41">
        <v>19.1</v>
      </c>
      <c r="H142" s="41">
        <v>16.7</v>
      </c>
      <c r="I142" s="41">
        <v>15.6</v>
      </c>
      <c r="J142" s="41">
        <v>27.1</v>
      </c>
      <c r="K142" s="43" t="s">
        <v>246</v>
      </c>
      <c r="L142" s="11"/>
      <c r="M142" s="51">
        <f>LEFT(E142,6)&amp;"數值"</f>
      </c>
    </row>
    <row x14ac:dyDescent="0.25" r="143" customHeight="1" ht="18.75">
      <c r="A143" s="1" t="s">
        <v>247</v>
      </c>
      <c r="B143" s="1"/>
      <c r="C143" s="1" t="s">
        <v>387</v>
      </c>
      <c r="D143" s="2"/>
      <c r="E143" s="43" t="s">
        <v>387</v>
      </c>
      <c r="F143" s="41">
        <v>19.1</v>
      </c>
      <c r="G143" s="41">
        <v>19.4</v>
      </c>
      <c r="H143" s="41">
        <v>16.2</v>
      </c>
      <c r="I143" s="41">
        <v>16.2</v>
      </c>
      <c r="J143" s="41">
        <v>26.9</v>
      </c>
      <c r="K143" s="43" t="s">
        <v>246</v>
      </c>
      <c r="L143" s="11"/>
      <c r="M143" s="51">
        <f>LEFT(E143,6)&amp;"數值"</f>
      </c>
    </row>
    <row x14ac:dyDescent="0.25" r="144" customHeight="1" ht="18.75">
      <c r="A144" s="1" t="s">
        <v>247</v>
      </c>
      <c r="B144" s="1"/>
      <c r="C144" s="1" t="s">
        <v>388</v>
      </c>
      <c r="D144" s="2"/>
      <c r="E144" s="43" t="s">
        <v>388</v>
      </c>
      <c r="F144" s="41">
        <v>18.7</v>
      </c>
      <c r="G144" s="41">
        <v>18.5</v>
      </c>
      <c r="H144" s="41">
        <v>16.1</v>
      </c>
      <c r="I144" s="41">
        <v>15.8</v>
      </c>
      <c r="J144" s="41">
        <v>27.7</v>
      </c>
      <c r="K144" s="43" t="s">
        <v>246</v>
      </c>
      <c r="L144" s="11"/>
      <c r="M144" s="51">
        <f>LEFT(E144,6)&amp;"數值"</f>
      </c>
    </row>
    <row x14ac:dyDescent="0.25" r="145" customHeight="1" ht="18.75">
      <c r="A145" s="1" t="s">
        <v>247</v>
      </c>
      <c r="B145" s="1"/>
      <c r="C145" s="1" t="s">
        <v>389</v>
      </c>
      <c r="D145" s="2"/>
      <c r="E145" s="43" t="s">
        <v>389</v>
      </c>
      <c r="F145" s="41">
        <v>19.4</v>
      </c>
      <c r="G145" s="41">
        <v>19.1</v>
      </c>
      <c r="H145" s="41">
        <v>17.6</v>
      </c>
      <c r="I145" s="41">
        <v>13.7</v>
      </c>
      <c r="J145" s="41">
        <v>27.8</v>
      </c>
      <c r="K145" s="43" t="s">
        <v>246</v>
      </c>
      <c r="L145" s="11"/>
      <c r="M145" s="51">
        <f>LEFT(E145,6)&amp;"數值"</f>
      </c>
    </row>
    <row x14ac:dyDescent="0.25" r="146" customHeight="1" ht="18.75">
      <c r="A146" s="1" t="s">
        <v>247</v>
      </c>
      <c r="B146" s="1"/>
      <c r="C146" s="1" t="s">
        <v>390</v>
      </c>
      <c r="D146" s="2"/>
      <c r="E146" s="43" t="s">
        <v>390</v>
      </c>
      <c r="F146" s="41">
        <v>17.4</v>
      </c>
      <c r="G146" s="41">
        <v>17.2</v>
      </c>
      <c r="H146" s="41">
        <v>16.1</v>
      </c>
      <c r="I146" s="41">
        <v>13.2</v>
      </c>
      <c r="J146" s="48">
        <v>24</v>
      </c>
      <c r="K146" s="43" t="s">
        <v>246</v>
      </c>
      <c r="L146" s="11"/>
      <c r="M146" s="51">
        <f>LEFT(E146,6)&amp;"數值"</f>
      </c>
    </row>
    <row x14ac:dyDescent="0.25" r="147" customHeight="1" ht="18.75">
      <c r="A147" s="1" t="s">
        <v>247</v>
      </c>
      <c r="B147" s="1"/>
      <c r="C147" s="1" t="s">
        <v>391</v>
      </c>
      <c r="D147" s="2"/>
      <c r="E147" s="43" t="s">
        <v>391</v>
      </c>
      <c r="F147" s="41">
        <v>17.3</v>
      </c>
      <c r="G147" s="41">
        <v>16.6</v>
      </c>
      <c r="H147" s="41">
        <v>16.7</v>
      </c>
      <c r="I147" s="41">
        <v>13.4</v>
      </c>
      <c r="J147" s="41">
        <v>28.5</v>
      </c>
      <c r="K147" s="43" t="s">
        <v>246</v>
      </c>
      <c r="L147" s="11"/>
      <c r="M147" s="51">
        <f>LEFT(E147,6)&amp;"數值"</f>
      </c>
    </row>
    <row x14ac:dyDescent="0.25" r="148" customHeight="1" ht="18.75">
      <c r="A148" s="1" t="s">
        <v>247</v>
      </c>
      <c r="B148" s="1"/>
      <c r="C148" s="1" t="s">
        <v>392</v>
      </c>
      <c r="D148" s="2"/>
      <c r="E148" s="43" t="s">
        <v>392</v>
      </c>
      <c r="F148" s="41">
        <v>15.4</v>
      </c>
      <c r="G148" s="41">
        <v>14.6</v>
      </c>
      <c r="H148" s="48">
        <v>16</v>
      </c>
      <c r="I148" s="41">
        <v>12.4</v>
      </c>
      <c r="J148" s="41">
        <v>22.7</v>
      </c>
      <c r="K148" s="43" t="s">
        <v>246</v>
      </c>
      <c r="L148" s="11"/>
      <c r="M148" s="51">
        <f>LEFT(E148,6)&amp;"數值"</f>
      </c>
    </row>
    <row x14ac:dyDescent="0.25" r="149" customHeight="1" ht="18.75">
      <c r="A149" s="1" t="s">
        <v>247</v>
      </c>
      <c r="B149" s="1"/>
      <c r="C149" s="1" t="s">
        <v>393</v>
      </c>
      <c r="D149" s="2"/>
      <c r="E149" s="43" t="s">
        <v>393</v>
      </c>
      <c r="F149" s="41">
        <v>15.3</v>
      </c>
      <c r="G149" s="41">
        <v>14.6</v>
      </c>
      <c r="H149" s="41">
        <v>15.6</v>
      </c>
      <c r="I149" s="41">
        <v>12.4</v>
      </c>
      <c r="J149" s="41">
        <v>21.8</v>
      </c>
      <c r="K149" s="43" t="s">
        <v>246</v>
      </c>
      <c r="L149" s="11"/>
      <c r="M149" s="51">
        <f>LEFT(E149,6)&amp;"數值"</f>
      </c>
    </row>
    <row x14ac:dyDescent="0.25" r="150" customHeight="1" ht="18.75">
      <c r="A150" s="1" t="s">
        <v>247</v>
      </c>
      <c r="B150" s="1"/>
      <c r="C150" s="1" t="s">
        <v>394</v>
      </c>
      <c r="D150" s="2"/>
      <c r="E150" s="43" t="s">
        <v>394</v>
      </c>
      <c r="F150" s="41">
        <v>16.4</v>
      </c>
      <c r="G150" s="41">
        <v>15.7</v>
      </c>
      <c r="H150" s="41">
        <v>17.1</v>
      </c>
      <c r="I150" s="41">
        <v>13.3</v>
      </c>
      <c r="J150" s="41">
        <v>24.5</v>
      </c>
      <c r="K150" s="43" t="s">
        <v>246</v>
      </c>
      <c r="L150" s="11"/>
      <c r="M150" s="51">
        <f>LEFT(E150,6)&amp;"數值"</f>
      </c>
    </row>
    <row x14ac:dyDescent="0.25" r="151" customHeight="1" ht="18.75">
      <c r="A151" s="1" t="s">
        <v>247</v>
      </c>
      <c r="B151" s="1"/>
      <c r="C151" s="1" t="s">
        <v>395</v>
      </c>
      <c r="D151" s="2"/>
      <c r="E151" s="43" t="s">
        <v>395</v>
      </c>
      <c r="F151" s="41">
        <v>17.5</v>
      </c>
      <c r="G151" s="41">
        <v>16.9</v>
      </c>
      <c r="H151" s="41">
        <v>17.9</v>
      </c>
      <c r="I151" s="41">
        <v>13.5</v>
      </c>
      <c r="J151" s="48">
        <v>25</v>
      </c>
      <c r="K151" s="43" t="s">
        <v>246</v>
      </c>
      <c r="L151" s="11"/>
      <c r="M151" s="51">
        <f>LEFT(E151,6)&amp;"數值"</f>
      </c>
    </row>
    <row x14ac:dyDescent="0.25" r="152" customHeight="1" ht="18.75">
      <c r="A152" s="1" t="s">
        <v>247</v>
      </c>
      <c r="B152" s="1"/>
      <c r="C152" s="1" t="s">
        <v>396</v>
      </c>
      <c r="D152" s="2"/>
      <c r="E152" s="43" t="s">
        <v>396</v>
      </c>
      <c r="F152" s="48">
        <v>18</v>
      </c>
      <c r="G152" s="41">
        <v>17.5</v>
      </c>
      <c r="H152" s="41">
        <v>18.6</v>
      </c>
      <c r="I152" s="41">
        <v>13.9</v>
      </c>
      <c r="J152" s="41">
        <v>25.2</v>
      </c>
      <c r="K152" s="43" t="s">
        <v>246</v>
      </c>
      <c r="L152" s="11"/>
      <c r="M152" s="51">
        <f>LEFT(E152,6)&amp;"數值"</f>
      </c>
    </row>
    <row x14ac:dyDescent="0.25" r="153" customHeight="1" ht="18.75">
      <c r="A153" s="2"/>
      <c r="B153" s="2"/>
      <c r="C153" s="2"/>
      <c r="D153" s="2"/>
      <c r="E153" s="2"/>
      <c r="F153" s="11"/>
      <c r="G153" s="30"/>
      <c r="H153" s="30"/>
      <c r="I153" s="30"/>
      <c r="J153" s="30"/>
      <c r="K153" s="2"/>
      <c r="L153" s="11"/>
      <c r="M15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27"/>
  <sheetViews>
    <sheetView workbookViewId="0"/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18.719285714285714" customWidth="1" bestFit="1"/>
    <col min="6" max="6" style="35" width="10.43357142857143" customWidth="1" bestFit="1"/>
    <col min="7" max="7" style="35" width="12.719285714285713" customWidth="1" bestFit="1"/>
    <col min="8" max="8" style="35" width="18.719285714285714" customWidth="1" bestFit="1"/>
    <col min="9" max="9" style="35" width="17.719285714285714" customWidth="1" bestFit="1"/>
    <col min="10" max="10" style="35" width="10.290714285714287" customWidth="1" bestFit="1"/>
  </cols>
  <sheetData>
    <row x14ac:dyDescent="0.25" r="1" customHeight="1" ht="18.75">
      <c r="A1" s="1" t="s">
        <v>86</v>
      </c>
      <c r="B1" s="1" t="s">
        <v>1</v>
      </c>
      <c r="C1" s="1" t="s">
        <v>2</v>
      </c>
      <c r="D1" s="2"/>
      <c r="E1" s="43" t="s">
        <v>87</v>
      </c>
      <c r="F1" s="44" t="s">
        <v>88</v>
      </c>
      <c r="G1" s="44" t="s">
        <v>89</v>
      </c>
      <c r="H1" s="44" t="s">
        <v>90</v>
      </c>
      <c r="I1" s="44" t="s">
        <v>91</v>
      </c>
      <c r="J1" s="44" t="s">
        <v>92</v>
      </c>
    </row>
    <row x14ac:dyDescent="0.25" r="2" customHeight="1" ht="18.75">
      <c r="A2" s="1" t="s">
        <v>214</v>
      </c>
      <c r="B2" s="1" t="s">
        <v>11</v>
      </c>
      <c r="C2" s="1" t="s">
        <v>12</v>
      </c>
      <c r="D2" s="2"/>
      <c r="E2" s="43" t="s">
        <v>94</v>
      </c>
      <c r="F2" s="44" t="s">
        <v>95</v>
      </c>
      <c r="G2" s="44" t="s">
        <v>96</v>
      </c>
      <c r="H2" s="44" t="s">
        <v>97</v>
      </c>
      <c r="I2" s="44" t="s">
        <v>98</v>
      </c>
      <c r="J2" s="44" t="s">
        <v>99</v>
      </c>
    </row>
    <row x14ac:dyDescent="0.25" r="3" customHeight="1" ht="18.75">
      <c r="A3" s="1" t="s">
        <v>215</v>
      </c>
      <c r="B3" s="1"/>
      <c r="C3" s="1" t="s">
        <v>216</v>
      </c>
      <c r="D3" s="2"/>
      <c r="E3" s="43" t="s">
        <v>216</v>
      </c>
      <c r="F3" s="41">
        <v>2.05</v>
      </c>
      <c r="G3" s="41">
        <v>2.23</v>
      </c>
      <c r="H3" s="41">
        <v>1.95</v>
      </c>
      <c r="I3" s="41">
        <v>1.7</v>
      </c>
      <c r="J3" s="41">
        <v>2.66</v>
      </c>
    </row>
    <row x14ac:dyDescent="0.25" r="4" customHeight="1" ht="18.75">
      <c r="A4" s="1" t="s">
        <v>217</v>
      </c>
      <c r="B4" s="1"/>
      <c r="C4" s="1" t="s">
        <v>218</v>
      </c>
      <c r="D4" s="2"/>
      <c r="E4" s="43" t="s">
        <v>218</v>
      </c>
      <c r="F4" s="41">
        <v>1.95</v>
      </c>
      <c r="G4" s="41">
        <v>2.23</v>
      </c>
      <c r="H4" s="41">
        <v>1.62</v>
      </c>
      <c r="I4" s="41">
        <v>1.61</v>
      </c>
      <c r="J4" s="41">
        <v>2.55</v>
      </c>
    </row>
    <row x14ac:dyDescent="0.25" r="5" customHeight="1" ht="18.75">
      <c r="A5" s="1" t="s">
        <v>217</v>
      </c>
      <c r="B5" s="1"/>
      <c r="C5" s="1" t="s">
        <v>219</v>
      </c>
      <c r="D5" s="2"/>
      <c r="E5" s="43" t="s">
        <v>219</v>
      </c>
      <c r="F5" s="41">
        <v>1.91</v>
      </c>
      <c r="G5" s="41">
        <v>2.2</v>
      </c>
      <c r="H5" s="41">
        <v>1.55</v>
      </c>
      <c r="I5" s="41">
        <v>1.56</v>
      </c>
      <c r="J5" s="41">
        <v>2.5</v>
      </c>
    </row>
    <row x14ac:dyDescent="0.25" r="6" customHeight="1" ht="18.75">
      <c r="A6" s="1" t="s">
        <v>217</v>
      </c>
      <c r="B6" s="1"/>
      <c r="C6" s="1" t="s">
        <v>220</v>
      </c>
      <c r="D6" s="2"/>
      <c r="E6" s="43" t="s">
        <v>220</v>
      </c>
      <c r="F6" s="41">
        <v>2.08</v>
      </c>
      <c r="G6" s="41">
        <v>2.39</v>
      </c>
      <c r="H6" s="41">
        <v>1.7</v>
      </c>
      <c r="I6" s="41">
        <v>1.69</v>
      </c>
      <c r="J6" s="41">
        <v>2.76</v>
      </c>
    </row>
    <row x14ac:dyDescent="0.25" r="7" customHeight="1" ht="18.75">
      <c r="A7" s="1" t="s">
        <v>217</v>
      </c>
      <c r="B7" s="1"/>
      <c r="C7" s="1" t="s">
        <v>221</v>
      </c>
      <c r="D7" s="2"/>
      <c r="E7" s="43" t="s">
        <v>221</v>
      </c>
      <c r="F7" s="41">
        <v>2.09</v>
      </c>
      <c r="G7" s="41">
        <v>2.38</v>
      </c>
      <c r="H7" s="41">
        <v>1.78</v>
      </c>
      <c r="I7" s="41">
        <v>1.74</v>
      </c>
      <c r="J7" s="41">
        <v>2.74</v>
      </c>
    </row>
    <row x14ac:dyDescent="0.25" r="8" customHeight="1" ht="18.75">
      <c r="A8" s="1" t="s">
        <v>217</v>
      </c>
      <c r="B8" s="1"/>
      <c r="C8" s="1" t="s">
        <v>222</v>
      </c>
      <c r="D8" s="2"/>
      <c r="E8" s="43" t="s">
        <v>222</v>
      </c>
      <c r="F8" s="41">
        <v>2.09</v>
      </c>
      <c r="G8" s="41">
        <v>2.39</v>
      </c>
      <c r="H8" s="41">
        <v>1.76</v>
      </c>
      <c r="I8" s="41">
        <v>1.71</v>
      </c>
      <c r="J8" s="41">
        <v>2.76</v>
      </c>
    </row>
    <row x14ac:dyDescent="0.25" r="9" customHeight="1" ht="18.75">
      <c r="A9" s="1" t="s">
        <v>217</v>
      </c>
      <c r="B9" s="1"/>
      <c r="C9" s="1" t="s">
        <v>223</v>
      </c>
      <c r="D9" s="2"/>
      <c r="E9" s="43" t="s">
        <v>223</v>
      </c>
      <c r="F9" s="41">
        <v>2.21</v>
      </c>
      <c r="G9" s="41">
        <v>2.54</v>
      </c>
      <c r="H9" s="41">
        <v>1.85</v>
      </c>
      <c r="I9" s="41">
        <v>1.79</v>
      </c>
      <c r="J9" s="41">
        <v>2.9</v>
      </c>
    </row>
    <row x14ac:dyDescent="0.25" r="10" customHeight="1" ht="18.75">
      <c r="A10" s="1" t="s">
        <v>217</v>
      </c>
      <c r="B10" s="1"/>
      <c r="C10" s="1" t="s">
        <v>224</v>
      </c>
      <c r="D10" s="2"/>
      <c r="E10" s="43" t="s">
        <v>224</v>
      </c>
      <c r="F10" s="41">
        <v>2.3</v>
      </c>
      <c r="G10" s="41">
        <v>2.69</v>
      </c>
      <c r="H10" s="41">
        <v>1.84</v>
      </c>
      <c r="I10" s="41">
        <v>1.93</v>
      </c>
      <c r="J10" s="41">
        <v>2.9</v>
      </c>
    </row>
    <row x14ac:dyDescent="0.25" r="11" customHeight="1" ht="18.75">
      <c r="A11" s="1" t="s">
        <v>217</v>
      </c>
      <c r="B11" s="1"/>
      <c r="C11" s="1" t="s">
        <v>225</v>
      </c>
      <c r="D11" s="2"/>
      <c r="E11" s="43" t="s">
        <v>225</v>
      </c>
      <c r="F11" s="41">
        <v>2.31</v>
      </c>
      <c r="G11" s="41">
        <v>2.68</v>
      </c>
      <c r="H11" s="41">
        <v>1.85</v>
      </c>
      <c r="I11" s="41">
        <v>1.85</v>
      </c>
      <c r="J11" s="41">
        <v>2.84</v>
      </c>
    </row>
    <row x14ac:dyDescent="0.25" r="12" customHeight="1" ht="18.75">
      <c r="A12" s="1" t="s">
        <v>217</v>
      </c>
      <c r="B12" s="1"/>
      <c r="C12" s="1" t="s">
        <v>226</v>
      </c>
      <c r="D12" s="2"/>
      <c r="E12" s="43" t="s">
        <v>226</v>
      </c>
      <c r="F12" s="41">
        <v>2.4</v>
      </c>
      <c r="G12" s="41">
        <v>2.79</v>
      </c>
      <c r="H12" s="41">
        <v>1.9</v>
      </c>
      <c r="I12" s="41">
        <v>1.97</v>
      </c>
      <c r="J12" s="41">
        <v>2.95</v>
      </c>
    </row>
    <row x14ac:dyDescent="0.25" r="13" customHeight="1" ht="18.75">
      <c r="A13" s="1" t="s">
        <v>217</v>
      </c>
      <c r="B13" s="1"/>
      <c r="C13" s="1" t="s">
        <v>227</v>
      </c>
      <c r="D13" s="2"/>
      <c r="E13" s="43" t="s">
        <v>227</v>
      </c>
      <c r="F13" s="41">
        <v>2.58</v>
      </c>
      <c r="G13" s="41">
        <v>3.11</v>
      </c>
      <c r="H13" s="41">
        <v>1.93</v>
      </c>
      <c r="I13" s="41">
        <v>2.16</v>
      </c>
      <c r="J13" s="41">
        <v>3.09</v>
      </c>
    </row>
    <row x14ac:dyDescent="0.25" r="14" customHeight="1" ht="18.75">
      <c r="A14" s="1" t="s">
        <v>217</v>
      </c>
      <c r="B14" s="1"/>
      <c r="C14" s="1" t="s">
        <v>228</v>
      </c>
      <c r="D14" s="2"/>
      <c r="E14" s="43" t="s">
        <v>228</v>
      </c>
      <c r="F14" s="41">
        <v>2.49</v>
      </c>
      <c r="G14" s="48">
        <v>3</v>
      </c>
      <c r="H14" s="41">
        <v>1.81</v>
      </c>
      <c r="I14" s="41">
        <v>2.01</v>
      </c>
      <c r="J14" s="41">
        <v>2.96</v>
      </c>
    </row>
    <row x14ac:dyDescent="0.25" r="15" customHeight="1" ht="18.75">
      <c r="A15" s="1" t="s">
        <v>217</v>
      </c>
      <c r="B15" s="1"/>
      <c r="C15" s="1" t="s">
        <v>229</v>
      </c>
      <c r="D15" s="2"/>
      <c r="E15" s="3" t="s">
        <v>229</v>
      </c>
      <c r="F15" s="16">
        <v>2.49</v>
      </c>
      <c r="G15" s="27">
        <v>3</v>
      </c>
      <c r="H15" s="16">
        <v>1.83</v>
      </c>
      <c r="I15" s="16">
        <v>1.99</v>
      </c>
      <c r="J15" s="16">
        <v>3.1</v>
      </c>
    </row>
    <row x14ac:dyDescent="0.25" r="16" customHeight="1" ht="18.75">
      <c r="A16" s="1" t="s">
        <v>217</v>
      </c>
      <c r="B16" s="1"/>
      <c r="C16" s="1" t="s">
        <v>230</v>
      </c>
      <c r="D16" s="2"/>
      <c r="E16" s="43" t="s">
        <v>230</v>
      </c>
      <c r="F16" s="41">
        <v>2.42</v>
      </c>
      <c r="G16" s="41">
        <v>2.94</v>
      </c>
      <c r="H16" s="41">
        <v>1.73</v>
      </c>
      <c r="I16" s="41">
        <v>1.91</v>
      </c>
      <c r="J16" s="41">
        <v>2.95</v>
      </c>
    </row>
    <row x14ac:dyDescent="0.25" r="17" customHeight="1" ht="18.75">
      <c r="A17" s="1" t="s">
        <v>217</v>
      </c>
      <c r="B17" s="1"/>
      <c r="C17" s="1" t="s">
        <v>231</v>
      </c>
      <c r="D17" s="2"/>
      <c r="E17" s="43" t="s">
        <v>231</v>
      </c>
      <c r="F17" s="41">
        <v>2.49</v>
      </c>
      <c r="G17" s="41">
        <v>3.09</v>
      </c>
      <c r="H17" s="41">
        <v>1.69</v>
      </c>
      <c r="I17" s="41">
        <v>1.98</v>
      </c>
      <c r="J17" s="41">
        <v>2.88</v>
      </c>
    </row>
    <row x14ac:dyDescent="0.25" r="18" customHeight="1" ht="18.75">
      <c r="A18" s="1" t="s">
        <v>217</v>
      </c>
      <c r="B18" s="1"/>
      <c r="C18" s="1" t="s">
        <v>232</v>
      </c>
      <c r="D18" s="2"/>
      <c r="E18" s="43" t="s">
        <v>232</v>
      </c>
      <c r="F18" s="41">
        <v>2.43</v>
      </c>
      <c r="G18" s="41">
        <v>2.99</v>
      </c>
      <c r="H18" s="41">
        <v>1.67</v>
      </c>
      <c r="I18" s="41">
        <v>1.91</v>
      </c>
      <c r="J18" s="41">
        <v>2.79</v>
      </c>
    </row>
    <row x14ac:dyDescent="0.25" r="19" customHeight="1" ht="18.75">
      <c r="A19" s="1" t="s">
        <v>217</v>
      </c>
      <c r="B19" s="1"/>
      <c r="C19" s="1" t="s">
        <v>233</v>
      </c>
      <c r="D19" s="2"/>
      <c r="E19" s="43" t="s">
        <v>233</v>
      </c>
      <c r="F19" s="41">
        <v>2.44</v>
      </c>
      <c r="G19" s="48">
        <v>3</v>
      </c>
      <c r="H19" s="41">
        <v>1.74</v>
      </c>
      <c r="I19" s="41">
        <v>1.82</v>
      </c>
      <c r="J19" s="41">
        <v>2.73</v>
      </c>
    </row>
    <row x14ac:dyDescent="0.25" r="20" customHeight="1" ht="18.75">
      <c r="A20" s="1" t="s">
        <v>217</v>
      </c>
      <c r="B20" s="1"/>
      <c r="C20" s="1" t="s">
        <v>234</v>
      </c>
      <c r="D20" s="2"/>
      <c r="E20" s="43" t="s">
        <v>234</v>
      </c>
      <c r="F20" s="41">
        <v>2.5</v>
      </c>
      <c r="G20" s="41">
        <v>3.1</v>
      </c>
      <c r="H20" s="41">
        <v>1.75</v>
      </c>
      <c r="I20" s="41">
        <v>1.82</v>
      </c>
      <c r="J20" s="41">
        <v>2.72</v>
      </c>
    </row>
    <row x14ac:dyDescent="0.25" r="21" customHeight="1" ht="18.75">
      <c r="A21" s="1" t="s">
        <v>217</v>
      </c>
      <c r="B21" s="1"/>
      <c r="C21" s="1" t="s">
        <v>235</v>
      </c>
      <c r="D21" s="2"/>
      <c r="E21" s="43" t="s">
        <v>235</v>
      </c>
      <c r="F21" s="41">
        <v>2.45</v>
      </c>
      <c r="G21" s="41">
        <v>2.97</v>
      </c>
      <c r="H21" s="41">
        <v>1.79</v>
      </c>
      <c r="I21" s="41">
        <v>1.85</v>
      </c>
      <c r="J21" s="41">
        <v>2.79</v>
      </c>
    </row>
    <row x14ac:dyDescent="0.25" r="22" customHeight="1" ht="18.75">
      <c r="A22" s="1" t="s">
        <v>217</v>
      </c>
      <c r="B22" s="1"/>
      <c r="C22" s="1" t="s">
        <v>236</v>
      </c>
      <c r="D22" s="2"/>
      <c r="E22" s="43" t="s">
        <v>236</v>
      </c>
      <c r="F22" s="41">
        <v>2.18</v>
      </c>
      <c r="G22" s="41">
        <v>2.61</v>
      </c>
      <c r="H22" s="41">
        <v>1.62</v>
      </c>
      <c r="I22" s="41">
        <v>1.69</v>
      </c>
      <c r="J22" s="41">
        <v>2.52</v>
      </c>
    </row>
    <row x14ac:dyDescent="0.25" r="23" customHeight="1" ht="18.75">
      <c r="A23" s="1" t="s">
        <v>217</v>
      </c>
      <c r="B23" s="1"/>
      <c r="C23" s="1" t="s">
        <v>237</v>
      </c>
      <c r="D23" s="2"/>
      <c r="E23" s="43" t="s">
        <v>237</v>
      </c>
      <c r="F23" s="41">
        <v>2.13</v>
      </c>
      <c r="G23" s="41">
        <v>2.58</v>
      </c>
      <c r="H23" s="41">
        <v>1.56</v>
      </c>
      <c r="I23" s="41">
        <v>1.65</v>
      </c>
      <c r="J23" s="41">
        <v>2.4</v>
      </c>
    </row>
    <row x14ac:dyDescent="0.25" r="24" customHeight="1" ht="18.75">
      <c r="A24" s="1" t="s">
        <v>217</v>
      </c>
      <c r="B24" s="1"/>
      <c r="C24" s="1" t="s">
        <v>238</v>
      </c>
      <c r="D24" s="2"/>
      <c r="E24" s="43" t="s">
        <v>238</v>
      </c>
      <c r="F24" s="41">
        <v>2.25</v>
      </c>
      <c r="G24" s="41">
        <v>2.73</v>
      </c>
      <c r="H24" s="41">
        <v>1.66</v>
      </c>
      <c r="I24" s="41">
        <v>1.73</v>
      </c>
      <c r="J24" s="41">
        <v>2.48</v>
      </c>
    </row>
    <row x14ac:dyDescent="0.25" r="25" customHeight="1" ht="18.75">
      <c r="A25" s="1" t="s">
        <v>217</v>
      </c>
      <c r="B25" s="1"/>
      <c r="C25" s="1" t="s">
        <v>239</v>
      </c>
      <c r="D25" s="2"/>
      <c r="E25" s="43" t="s">
        <v>239</v>
      </c>
      <c r="F25" s="41">
        <v>2.34</v>
      </c>
      <c r="G25" s="41">
        <v>2.9</v>
      </c>
      <c r="H25" s="41">
        <v>1.67</v>
      </c>
      <c r="I25" s="41">
        <v>1.75</v>
      </c>
      <c r="J25" s="41">
        <v>2.53</v>
      </c>
    </row>
    <row x14ac:dyDescent="0.25" r="26" customHeight="1" ht="18.75">
      <c r="A26" s="1" t="s">
        <v>217</v>
      </c>
      <c r="B26" s="1"/>
      <c r="C26" s="1" t="s">
        <v>240</v>
      </c>
      <c r="D26" s="2"/>
      <c r="E26" s="43" t="s">
        <v>240</v>
      </c>
      <c r="F26" s="41">
        <v>2.39</v>
      </c>
      <c r="G26" s="41">
        <v>2.99</v>
      </c>
      <c r="H26" s="41">
        <v>1.68</v>
      </c>
      <c r="I26" s="41">
        <v>1.79</v>
      </c>
      <c r="J26" s="41">
        <v>2.54</v>
      </c>
    </row>
    <row x14ac:dyDescent="0.25" r="27" customHeight="1" ht="18.75">
      <c r="A27" s="2"/>
      <c r="B27" s="2"/>
      <c r="C27" s="2"/>
      <c r="D27" s="2"/>
      <c r="E27" s="2"/>
      <c r="F27" s="30"/>
      <c r="G27" s="30"/>
      <c r="H27" s="30"/>
      <c r="I27" s="30"/>
      <c r="J27" s="3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M212"/>
  <sheetViews>
    <sheetView workbookViewId="0">
      <pane state="frozen" activePane="bottomLeft" topLeftCell="A3" ySplit="2" xSplit="0"/>
    </sheetView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13.576428571428572" customWidth="1" bestFit="1"/>
    <col min="6" max="6" style="35" width="13.576428571428572" customWidth="1" bestFit="1"/>
    <col min="7" max="7" style="35" width="13.576428571428572" customWidth="1" bestFit="1"/>
    <col min="8" max="8" style="37" width="13.576428571428572" customWidth="1" bestFit="1"/>
    <col min="9" max="9" style="35" width="13.576428571428572" customWidth="1" bestFit="1"/>
    <col min="10" max="10" style="35" width="13.576428571428572" customWidth="1" bestFit="1"/>
    <col min="11" max="11" style="35" width="13.576428571428572" customWidth="1" bestFit="1"/>
    <col min="12" max="12" style="35" width="13.576428571428572" customWidth="1" bestFit="1"/>
    <col min="13" max="13" style="34" width="13.576428571428572" customWidth="1" bestFit="1"/>
  </cols>
  <sheetData>
    <row x14ac:dyDescent="0.25" r="1" customHeight="1" ht="18.75">
      <c r="A1" s="1" t="s">
        <v>86</v>
      </c>
      <c r="B1" s="1" t="s">
        <v>1</v>
      </c>
      <c r="C1" s="1" t="s">
        <v>2</v>
      </c>
      <c r="D1" s="2"/>
      <c r="E1" s="3" t="s">
        <v>87</v>
      </c>
      <c r="F1" s="4" t="s">
        <v>88</v>
      </c>
      <c r="G1" s="4" t="s">
        <v>92</v>
      </c>
      <c r="H1" s="27"/>
      <c r="I1" s="27"/>
      <c r="J1" s="27"/>
      <c r="K1" s="27"/>
      <c r="L1" s="27"/>
      <c r="M1" s="9"/>
    </row>
    <row x14ac:dyDescent="0.25" r="2" customHeight="1" ht="18.75">
      <c r="A2" s="1" t="s">
        <v>141</v>
      </c>
      <c r="B2" s="1" t="s">
        <v>11</v>
      </c>
      <c r="C2" s="1" t="s">
        <v>12</v>
      </c>
      <c r="D2" s="2"/>
      <c r="E2" s="3" t="s">
        <v>94</v>
      </c>
      <c r="F2" s="46" t="s">
        <v>95</v>
      </c>
      <c r="G2" s="46" t="s">
        <v>99</v>
      </c>
      <c r="H2" s="11"/>
      <c r="I2" s="30"/>
      <c r="J2" s="46"/>
      <c r="K2" s="30"/>
      <c r="L2" s="30"/>
      <c r="M2" s="9"/>
    </row>
    <row x14ac:dyDescent="0.25" r="3" customHeight="1" ht="18.75">
      <c r="A3" s="1" t="s">
        <v>142</v>
      </c>
      <c r="B3" s="1"/>
      <c r="C3" s="1" t="s">
        <v>143</v>
      </c>
      <c r="D3" s="2"/>
      <c r="E3" s="3" t="s">
        <v>143</v>
      </c>
      <c r="F3" s="16">
        <v>259.578</v>
      </c>
      <c r="G3" s="16">
        <v>0.718</v>
      </c>
      <c r="H3" s="11"/>
      <c r="I3" s="30"/>
      <c r="J3" s="30"/>
      <c r="K3" s="30"/>
      <c r="L3" s="30"/>
      <c r="M3" s="47"/>
    </row>
    <row x14ac:dyDescent="0.25" r="4" customHeight="1" ht="18.75">
      <c r="A4" s="1" t="s">
        <v>144</v>
      </c>
      <c r="B4" s="1"/>
      <c r="C4" s="1" t="s">
        <v>145</v>
      </c>
      <c r="D4" s="2"/>
      <c r="E4" s="3" t="s">
        <v>145</v>
      </c>
      <c r="F4" s="16">
        <v>279.748</v>
      </c>
      <c r="G4" s="16">
        <v>0.895</v>
      </c>
      <c r="H4" s="11"/>
      <c r="I4" s="30"/>
      <c r="J4" s="30"/>
      <c r="K4" s="30"/>
      <c r="L4" s="30"/>
      <c r="M4" s="47"/>
    </row>
    <row x14ac:dyDescent="0.25" r="5" customHeight="1" ht="18.75">
      <c r="A5" s="1" t="s">
        <v>144</v>
      </c>
      <c r="B5" s="1"/>
      <c r="C5" s="1" t="s">
        <v>146</v>
      </c>
      <c r="D5" s="2"/>
      <c r="E5" s="3" t="s">
        <v>146</v>
      </c>
      <c r="F5" s="16">
        <v>270.44</v>
      </c>
      <c r="G5" s="16">
        <v>0.685</v>
      </c>
      <c r="H5" s="11"/>
      <c r="I5" s="30"/>
      <c r="J5" s="30"/>
      <c r="K5" s="30"/>
      <c r="L5" s="30"/>
      <c r="M5" s="47"/>
    </row>
    <row x14ac:dyDescent="0.25" r="6" customHeight="1" ht="18.75">
      <c r="A6" s="1" t="s">
        <v>144</v>
      </c>
      <c r="B6" s="1"/>
      <c r="C6" s="1" t="s">
        <v>147</v>
      </c>
      <c r="D6" s="2"/>
      <c r="E6" s="3" t="s">
        <v>147</v>
      </c>
      <c r="F6" s="16">
        <v>255.226</v>
      </c>
      <c r="G6" s="16">
        <v>0.431</v>
      </c>
      <c r="H6" s="11"/>
      <c r="I6" s="30"/>
      <c r="J6" s="30"/>
      <c r="K6" s="30"/>
      <c r="L6" s="30"/>
      <c r="M6" s="47"/>
    </row>
    <row x14ac:dyDescent="0.25" r="7" customHeight="1" ht="18.75">
      <c r="A7" s="1" t="s">
        <v>144</v>
      </c>
      <c r="B7" s="1"/>
      <c r="C7" s="1" t="s">
        <v>148</v>
      </c>
      <c r="D7" s="2"/>
      <c r="E7" s="3" t="s">
        <v>148</v>
      </c>
      <c r="F7" s="16">
        <v>240.442</v>
      </c>
      <c r="G7" s="16">
        <v>0.354</v>
      </c>
      <c r="H7" s="11"/>
      <c r="I7" s="30"/>
      <c r="J7" s="30"/>
      <c r="K7" s="30"/>
      <c r="L7" s="30"/>
      <c r="M7" s="47"/>
    </row>
    <row x14ac:dyDescent="0.25" r="8" customHeight="1" ht="18.75">
      <c r="A8" s="1" t="s">
        <v>144</v>
      </c>
      <c r="B8" s="1"/>
      <c r="C8" s="1" t="s">
        <v>149</v>
      </c>
      <c r="D8" s="2"/>
      <c r="E8" s="3" t="s">
        <v>149</v>
      </c>
      <c r="F8" s="16">
        <v>235.545</v>
      </c>
      <c r="G8" s="16">
        <v>0.591</v>
      </c>
      <c r="H8" s="11"/>
      <c r="I8" s="30"/>
      <c r="J8" s="30"/>
      <c r="K8" s="30"/>
      <c r="L8" s="30"/>
      <c r="M8" s="47"/>
    </row>
    <row x14ac:dyDescent="0.25" r="9" customHeight="1" ht="18.75">
      <c r="A9" s="1" t="s">
        <v>144</v>
      </c>
      <c r="B9" s="1"/>
      <c r="C9" s="1" t="s">
        <v>150</v>
      </c>
      <c r="D9" s="2"/>
      <c r="E9" s="3" t="s">
        <v>150</v>
      </c>
      <c r="F9" s="16">
        <v>252.789</v>
      </c>
      <c r="G9" s="16">
        <v>1.14</v>
      </c>
      <c r="H9" s="11"/>
      <c r="I9" s="30"/>
      <c r="J9" s="30"/>
      <c r="K9" s="30"/>
      <c r="L9" s="30"/>
      <c r="M9" s="47"/>
    </row>
    <row x14ac:dyDescent="0.25" r="10" customHeight="1" ht="18.75">
      <c r="A10" s="1" t="s">
        <v>144</v>
      </c>
      <c r="B10" s="1"/>
      <c r="C10" s="1" t="s">
        <v>151</v>
      </c>
      <c r="D10" s="2"/>
      <c r="E10" s="3" t="s">
        <v>151</v>
      </c>
      <c r="F10" s="16">
        <v>283.456</v>
      </c>
      <c r="G10" s="16">
        <v>1.824</v>
      </c>
      <c r="H10" s="11"/>
      <c r="I10" s="30"/>
      <c r="J10" s="30"/>
      <c r="K10" s="30"/>
      <c r="L10" s="30"/>
      <c r="M10" s="47"/>
    </row>
    <row x14ac:dyDescent="0.25" r="11" customHeight="1" ht="18.75">
      <c r="A11" s="1" t="s">
        <v>144</v>
      </c>
      <c r="B11" s="1"/>
      <c r="C11" s="1" t="s">
        <v>152</v>
      </c>
      <c r="D11" s="2"/>
      <c r="E11" s="3" t="s">
        <v>152</v>
      </c>
      <c r="F11" s="16">
        <v>319.856</v>
      </c>
      <c r="G11" s="16">
        <v>2.539</v>
      </c>
      <c r="H11" s="11"/>
      <c r="I11" s="30"/>
      <c r="J11" s="30"/>
      <c r="K11" s="30"/>
      <c r="L11" s="30"/>
      <c r="M11" s="47"/>
    </row>
    <row x14ac:dyDescent="0.25" r="12" customHeight="1" ht="18.75">
      <c r="A12" s="1" t="s">
        <v>144</v>
      </c>
      <c r="B12" s="1"/>
      <c r="C12" s="1" t="s">
        <v>153</v>
      </c>
      <c r="D12" s="2"/>
      <c r="E12" s="3" t="s">
        <v>153</v>
      </c>
      <c r="F12" s="16">
        <v>358.835</v>
      </c>
      <c r="G12" s="16">
        <v>3.236</v>
      </c>
      <c r="H12" s="11"/>
      <c r="I12" s="30"/>
      <c r="J12" s="30"/>
      <c r="K12" s="30"/>
      <c r="L12" s="30"/>
      <c r="M12" s="47"/>
    </row>
    <row x14ac:dyDescent="0.25" r="13" customHeight="1" ht="18.75">
      <c r="A13" s="1" t="s">
        <v>144</v>
      </c>
      <c r="B13" s="1"/>
      <c r="C13" s="1" t="s">
        <v>154</v>
      </c>
      <c r="D13" s="2"/>
      <c r="E13" s="3" t="s">
        <v>154</v>
      </c>
      <c r="F13" s="16">
        <v>409.677</v>
      </c>
      <c r="G13" s="16">
        <v>4.037</v>
      </c>
      <c r="H13" s="11"/>
      <c r="I13" s="30"/>
      <c r="J13" s="30"/>
      <c r="K13" s="30"/>
      <c r="L13" s="30"/>
      <c r="M13" s="47"/>
    </row>
    <row x14ac:dyDescent="0.25" r="14" customHeight="1" ht="18.75">
      <c r="A14" s="1" t="s">
        <v>144</v>
      </c>
      <c r="B14" s="1"/>
      <c r="C14" s="1" t="s">
        <v>155</v>
      </c>
      <c r="D14" s="2"/>
      <c r="E14" s="3" t="s">
        <v>155</v>
      </c>
      <c r="F14" s="16">
        <v>481.205</v>
      </c>
      <c r="G14" s="16">
        <v>5.007</v>
      </c>
      <c r="H14" s="11"/>
      <c r="I14" s="30"/>
      <c r="J14" s="30"/>
      <c r="K14" s="30"/>
      <c r="L14" s="30"/>
      <c r="M14" s="47"/>
    </row>
    <row x14ac:dyDescent="0.25" r="15" customHeight="1" ht="18.75">
      <c r="A15" s="1" t="s">
        <v>144</v>
      </c>
      <c r="B15" s="1"/>
      <c r="C15" s="1" t="s">
        <v>156</v>
      </c>
      <c r="D15" s="2"/>
      <c r="E15" s="3" t="s">
        <v>156</v>
      </c>
      <c r="F15" s="16">
        <v>573.277</v>
      </c>
      <c r="G15" s="16">
        <v>6.013</v>
      </c>
      <c r="H15" s="11"/>
      <c r="I15" s="16">
        <v>481.205</v>
      </c>
      <c r="J15" s="16">
        <v>573.277</v>
      </c>
      <c r="K15" s="16">
        <v>681.431</v>
      </c>
      <c r="L15" s="16">
        <v>798.338</v>
      </c>
      <c r="M15" s="47"/>
    </row>
    <row x14ac:dyDescent="0.25" r="16" customHeight="1" ht="18.75">
      <c r="A16" s="1" t="s">
        <v>144</v>
      </c>
      <c r="B16" s="1"/>
      <c r="C16" s="1" t="s">
        <v>157</v>
      </c>
      <c r="D16" s="2"/>
      <c r="E16" s="3" t="s">
        <v>157</v>
      </c>
      <c r="F16" s="16">
        <v>681.431</v>
      </c>
      <c r="G16" s="16">
        <v>7.13</v>
      </c>
      <c r="H16" s="11"/>
      <c r="I16" s="16">
        <v>5.007</v>
      </c>
      <c r="J16" s="16">
        <v>6.013</v>
      </c>
      <c r="K16" s="16">
        <v>7.13</v>
      </c>
      <c r="L16" s="16">
        <v>8.402</v>
      </c>
      <c r="M16" s="47"/>
    </row>
    <row x14ac:dyDescent="0.25" r="17" customHeight="1" ht="18.75">
      <c r="A17" s="1" t="s">
        <v>144</v>
      </c>
      <c r="B17" s="1"/>
      <c r="C17" s="1" t="s">
        <v>158</v>
      </c>
      <c r="D17" s="2"/>
      <c r="E17" s="3" t="s">
        <v>158</v>
      </c>
      <c r="F17" s="16">
        <v>798.338</v>
      </c>
      <c r="G17" s="16">
        <v>8.402</v>
      </c>
      <c r="H17" s="11"/>
      <c r="I17" s="30"/>
      <c r="J17" s="30"/>
      <c r="K17" s="30"/>
      <c r="L17" s="30"/>
      <c r="M17" s="47"/>
    </row>
    <row x14ac:dyDescent="0.25" r="18" customHeight="1" ht="18.75">
      <c r="A18" s="1" t="s">
        <v>144</v>
      </c>
      <c r="B18" s="1"/>
      <c r="C18" s="1" t="s">
        <v>159</v>
      </c>
      <c r="D18" s="2"/>
      <c r="E18" s="3" t="s">
        <v>159</v>
      </c>
      <c r="F18" s="16">
        <v>929.869</v>
      </c>
      <c r="G18" s="16">
        <v>9.845</v>
      </c>
      <c r="H18" s="11"/>
      <c r="I18" s="30"/>
      <c r="J18" s="30"/>
      <c r="K18" s="30"/>
      <c r="L18" s="30"/>
      <c r="M18" s="47"/>
    </row>
    <row x14ac:dyDescent="0.25" r="19" customHeight="1" ht="18.75">
      <c r="A19" s="1" t="s">
        <v>144</v>
      </c>
      <c r="B19" s="1"/>
      <c r="C19" s="1" t="s">
        <v>160</v>
      </c>
      <c r="D19" s="2"/>
      <c r="E19" s="3" t="s">
        <v>160</v>
      </c>
      <c r="F19" s="16">
        <v>1051.602</v>
      </c>
      <c r="G19" s="16">
        <v>11.097</v>
      </c>
      <c r="H19" s="11"/>
      <c r="I19" s="30"/>
      <c r="J19" s="30"/>
      <c r="K19" s="30"/>
      <c r="L19" s="30"/>
      <c r="M19" s="47"/>
    </row>
    <row x14ac:dyDescent="0.25" r="20" customHeight="1" ht="18.75">
      <c r="A20" s="1" t="s">
        <v>144</v>
      </c>
      <c r="B20" s="1"/>
      <c r="C20" s="1" t="s">
        <v>161</v>
      </c>
      <c r="D20" s="2"/>
      <c r="E20" s="3" t="s">
        <v>161</v>
      </c>
      <c r="F20" s="16">
        <v>1171.34</v>
      </c>
      <c r="G20" s="16">
        <v>12.309</v>
      </c>
      <c r="H20" s="11"/>
      <c r="I20" s="30"/>
      <c r="J20" s="30"/>
      <c r="K20" s="30"/>
      <c r="L20" s="30"/>
      <c r="M20" s="47"/>
    </row>
    <row x14ac:dyDescent="0.25" r="21" customHeight="1" ht="18.75">
      <c r="A21" s="1" t="s">
        <v>144</v>
      </c>
      <c r="B21" s="1"/>
      <c r="C21" s="1" t="s">
        <v>162</v>
      </c>
      <c r="D21" s="2"/>
      <c r="E21" s="3" t="s">
        <v>162</v>
      </c>
      <c r="F21" s="16">
        <v>1278.244</v>
      </c>
      <c r="G21" s="16">
        <v>13.524</v>
      </c>
      <c r="H21" s="11"/>
      <c r="I21" s="30"/>
      <c r="J21" s="30"/>
      <c r="K21" s="30"/>
      <c r="L21" s="30"/>
      <c r="M21" s="47"/>
    </row>
    <row x14ac:dyDescent="0.25" r="22" customHeight="1" ht="18.75">
      <c r="A22" s="1" t="s">
        <v>144</v>
      </c>
      <c r="B22" s="1"/>
      <c r="C22" s="1" t="s">
        <v>163</v>
      </c>
      <c r="D22" s="2"/>
      <c r="E22" s="3" t="s">
        <v>163</v>
      </c>
      <c r="F22" s="16">
        <v>1366.391</v>
      </c>
      <c r="G22" s="16">
        <v>14.567</v>
      </c>
      <c r="H22" s="11"/>
      <c r="I22" s="30"/>
      <c r="J22" s="30"/>
      <c r="K22" s="30"/>
      <c r="L22" s="30"/>
      <c r="M22" s="47"/>
    </row>
    <row x14ac:dyDescent="0.25" r="23" customHeight="1" ht="18.75">
      <c r="A23" s="1" t="s">
        <v>144</v>
      </c>
      <c r="B23" s="1"/>
      <c r="C23" s="1" t="s">
        <v>164</v>
      </c>
      <c r="D23" s="2"/>
      <c r="E23" s="3" t="s">
        <v>164</v>
      </c>
      <c r="F23" s="16">
        <v>1432.645</v>
      </c>
      <c r="G23" s="16">
        <v>15.356</v>
      </c>
      <c r="H23" s="11"/>
      <c r="I23" s="30"/>
      <c r="J23" s="30"/>
      <c r="K23" s="30"/>
      <c r="L23" s="30"/>
      <c r="M23" s="47"/>
    </row>
    <row x14ac:dyDescent="0.25" r="24" customHeight="1" ht="18.75">
      <c r="A24" s="1" t="s">
        <v>144</v>
      </c>
      <c r="B24" s="1"/>
      <c r="C24" s="1" t="s">
        <v>165</v>
      </c>
      <c r="D24" s="2"/>
      <c r="E24" s="3" t="s">
        <v>165</v>
      </c>
      <c r="F24" s="16">
        <v>1474.335</v>
      </c>
      <c r="G24" s="16">
        <v>15.91</v>
      </c>
      <c r="H24" s="11"/>
      <c r="I24" s="30"/>
      <c r="J24" s="30"/>
      <c r="K24" s="30"/>
      <c r="L24" s="30"/>
      <c r="M24" s="47"/>
    </row>
    <row x14ac:dyDescent="0.25" r="25" customHeight="1" ht="18.75">
      <c r="A25" s="1" t="s">
        <v>144</v>
      </c>
      <c r="B25" s="1"/>
      <c r="C25" s="1" t="s">
        <v>166</v>
      </c>
      <c r="D25" s="2"/>
      <c r="E25" s="3" t="s">
        <v>166</v>
      </c>
      <c r="F25" s="16">
        <v>1505.541</v>
      </c>
      <c r="G25" s="16">
        <v>16.49</v>
      </c>
      <c r="H25" s="11"/>
      <c r="I25" s="30"/>
      <c r="J25" s="30"/>
      <c r="K25" s="30"/>
      <c r="L25" s="30"/>
      <c r="M25" s="47"/>
    </row>
    <row x14ac:dyDescent="0.25" r="26" customHeight="1" ht="18.75">
      <c r="A26" s="1" t="s">
        <v>144</v>
      </c>
      <c r="B26" s="1"/>
      <c r="C26" s="1" t="s">
        <v>167</v>
      </c>
      <c r="D26" s="2"/>
      <c r="E26" s="3" t="s">
        <v>167</v>
      </c>
      <c r="F26" s="16">
        <v>1534.043</v>
      </c>
      <c r="G26" s="16">
        <v>17.185</v>
      </c>
      <c r="H26" s="11"/>
      <c r="I26" s="30"/>
      <c r="J26" s="30"/>
      <c r="K26" s="30"/>
      <c r="L26" s="30"/>
      <c r="M26" s="47"/>
    </row>
    <row x14ac:dyDescent="0.25" r="27" customHeight="1" ht="18.75">
      <c r="A27" s="1" t="s">
        <v>144</v>
      </c>
      <c r="B27" s="1"/>
      <c r="C27" s="1" t="s">
        <v>168</v>
      </c>
      <c r="D27" s="2"/>
      <c r="E27" s="3" t="s">
        <v>168</v>
      </c>
      <c r="F27" s="16">
        <v>1553.856</v>
      </c>
      <c r="G27" s="16">
        <v>17.656</v>
      </c>
      <c r="H27" s="11"/>
      <c r="I27" s="30"/>
      <c r="J27" s="30"/>
      <c r="K27" s="30"/>
      <c r="L27" s="30"/>
      <c r="M27" s="47"/>
    </row>
    <row x14ac:dyDescent="0.25" r="28" customHeight="1" ht="18.75">
      <c r="A28" s="1" t="s">
        <v>144</v>
      </c>
      <c r="B28" s="1"/>
      <c r="C28" s="1" t="s">
        <v>169</v>
      </c>
      <c r="D28" s="2"/>
      <c r="E28" s="3" t="s">
        <v>169</v>
      </c>
      <c r="F28" s="16">
        <v>1562.032</v>
      </c>
      <c r="G28" s="16">
        <v>17.849</v>
      </c>
      <c r="H28" s="11"/>
      <c r="I28" s="30"/>
      <c r="J28" s="30"/>
      <c r="K28" s="30"/>
      <c r="L28" s="30"/>
      <c r="M28" s="47"/>
    </row>
    <row x14ac:dyDescent="0.25" r="29" customHeight="1" ht="18.75">
      <c r="A29" s="1" t="s">
        <v>144</v>
      </c>
      <c r="B29" s="1"/>
      <c r="C29" s="1" t="s">
        <v>170</v>
      </c>
      <c r="D29" s="2"/>
      <c r="E29" s="3" t="s">
        <v>170</v>
      </c>
      <c r="F29" s="16">
        <v>1554.857</v>
      </c>
      <c r="G29" s="16">
        <v>17.795</v>
      </c>
      <c r="H29" s="11"/>
      <c r="I29" s="30"/>
      <c r="J29" s="30"/>
      <c r="K29" s="30"/>
      <c r="L29" s="30"/>
      <c r="M29" s="47"/>
    </row>
    <row x14ac:dyDescent="0.25" r="30" customHeight="1" ht="18.75">
      <c r="A30" s="1" t="s">
        <v>144</v>
      </c>
      <c r="B30" s="1"/>
      <c r="C30" s="1" t="s">
        <v>171</v>
      </c>
      <c r="D30" s="2"/>
      <c r="E30" s="3" t="s">
        <v>171</v>
      </c>
      <c r="F30" s="16">
        <v>1522.465</v>
      </c>
      <c r="G30" s="16">
        <v>17.293</v>
      </c>
      <c r="H30" s="11"/>
      <c r="I30" s="30"/>
      <c r="J30" s="30"/>
      <c r="K30" s="30"/>
      <c r="L30" s="30"/>
      <c r="M30" s="47"/>
    </row>
    <row x14ac:dyDescent="0.25" r="31" customHeight="1" ht="18.75">
      <c r="A31" s="1" t="s">
        <v>144</v>
      </c>
      <c r="B31" s="1"/>
      <c r="C31" s="1" t="s">
        <v>172</v>
      </c>
      <c r="D31" s="2"/>
      <c r="E31" s="3" t="s">
        <v>172</v>
      </c>
      <c r="F31" s="16">
        <v>1468.419</v>
      </c>
      <c r="G31" s="16">
        <v>16.498</v>
      </c>
      <c r="H31" s="11"/>
      <c r="I31" s="30"/>
      <c r="J31" s="30"/>
      <c r="K31" s="30"/>
      <c r="L31" s="30"/>
      <c r="M31" s="47"/>
    </row>
    <row x14ac:dyDescent="0.25" r="32" customHeight="1" ht="18.75">
      <c r="A32" s="1" t="s">
        <v>144</v>
      </c>
      <c r="B32" s="1"/>
      <c r="C32" s="1" t="s">
        <v>173</v>
      </c>
      <c r="D32" s="2"/>
      <c r="E32" s="3" t="s">
        <v>173</v>
      </c>
      <c r="F32" s="16">
        <v>1381.334</v>
      </c>
      <c r="G32" s="16">
        <v>15.338</v>
      </c>
      <c r="H32" s="11"/>
      <c r="I32" s="30"/>
      <c r="J32" s="30"/>
      <c r="K32" s="30"/>
      <c r="L32" s="30"/>
      <c r="M32" s="47"/>
    </row>
    <row x14ac:dyDescent="0.25" r="33" customHeight="1" ht="18.75">
      <c r="A33" s="1" t="s">
        <v>144</v>
      </c>
      <c r="B33" s="1"/>
      <c r="C33" s="1" t="s">
        <v>174</v>
      </c>
      <c r="D33" s="2"/>
      <c r="E33" s="3" t="s">
        <v>174</v>
      </c>
      <c r="F33" s="16">
        <v>1265.688</v>
      </c>
      <c r="G33" s="16">
        <v>13.857</v>
      </c>
      <c r="H33" s="11"/>
      <c r="I33" s="30"/>
      <c r="J33" s="30"/>
      <c r="K33" s="30"/>
      <c r="L33" s="30"/>
      <c r="M33" s="47"/>
    </row>
    <row x14ac:dyDescent="0.25" r="34" customHeight="1" ht="18.75">
      <c r="A34" s="1" t="s">
        <v>144</v>
      </c>
      <c r="B34" s="1"/>
      <c r="C34" s="1" t="s">
        <v>175</v>
      </c>
      <c r="D34" s="2"/>
      <c r="E34" s="3" t="s">
        <v>175</v>
      </c>
      <c r="F34" s="16">
        <v>1140.299</v>
      </c>
      <c r="G34" s="16">
        <v>12.443</v>
      </c>
      <c r="H34" s="11"/>
      <c r="I34" s="30"/>
      <c r="J34" s="30"/>
      <c r="K34" s="30"/>
      <c r="L34" s="30"/>
      <c r="M34" s="47"/>
    </row>
    <row x14ac:dyDescent="0.25" r="35" customHeight="1" ht="18.75">
      <c r="A35" s="1" t="s">
        <v>144</v>
      </c>
      <c r="B35" s="1"/>
      <c r="C35" s="1" t="s">
        <v>176</v>
      </c>
      <c r="D35" s="2"/>
      <c r="E35" s="3" t="s">
        <v>176</v>
      </c>
      <c r="F35" s="16">
        <v>992.406</v>
      </c>
      <c r="G35" s="16">
        <v>10.875</v>
      </c>
      <c r="H35" s="11"/>
      <c r="I35" s="30"/>
      <c r="J35" s="30"/>
      <c r="K35" s="30"/>
      <c r="L35" s="30"/>
      <c r="M35" s="47"/>
    </row>
    <row x14ac:dyDescent="0.25" r="36" customHeight="1" ht="18.75">
      <c r="A36" s="1" t="s">
        <v>144</v>
      </c>
      <c r="B36" s="1"/>
      <c r="C36" s="1" t="s">
        <v>177</v>
      </c>
      <c r="D36" s="2"/>
      <c r="E36" s="3" t="s">
        <v>177</v>
      </c>
      <c r="F36" s="16">
        <v>825.232</v>
      </c>
      <c r="G36" s="16">
        <v>9.08</v>
      </c>
      <c r="H36" s="11"/>
      <c r="I36" s="30"/>
      <c r="J36" s="30"/>
      <c r="K36" s="30"/>
      <c r="L36" s="30"/>
      <c r="M36" s="47"/>
    </row>
    <row x14ac:dyDescent="0.25" r="37" customHeight="1" ht="18.75">
      <c r="A37" s="1" t="s">
        <v>144</v>
      </c>
      <c r="B37" s="1"/>
      <c r="C37" s="1" t="s">
        <v>178</v>
      </c>
      <c r="D37" s="2"/>
      <c r="E37" s="3" t="s">
        <v>178</v>
      </c>
      <c r="F37" s="16">
        <v>673.102</v>
      </c>
      <c r="G37" s="16">
        <v>7.454</v>
      </c>
      <c r="H37" s="11"/>
      <c r="I37" s="30"/>
      <c r="J37" s="30"/>
      <c r="K37" s="30"/>
      <c r="L37" s="30"/>
      <c r="M37" s="47"/>
    </row>
    <row x14ac:dyDescent="0.25" r="38" customHeight="1" ht="18.75">
      <c r="A38" s="1" t="s">
        <v>144</v>
      </c>
      <c r="B38" s="1"/>
      <c r="C38" s="1" t="s">
        <v>179</v>
      </c>
      <c r="D38" s="2"/>
      <c r="E38" s="3" t="s">
        <v>179</v>
      </c>
      <c r="F38" s="16">
        <v>536.452</v>
      </c>
      <c r="G38" s="16">
        <v>6.029</v>
      </c>
      <c r="H38" s="11"/>
      <c r="I38" s="30"/>
      <c r="J38" s="30"/>
      <c r="K38" s="30"/>
      <c r="L38" s="30"/>
      <c r="M38" s="47"/>
    </row>
    <row x14ac:dyDescent="0.25" r="39" customHeight="1" ht="18.75">
      <c r="A39" s="1" t="s">
        <v>144</v>
      </c>
      <c r="B39" s="1"/>
      <c r="C39" s="1" t="s">
        <v>180</v>
      </c>
      <c r="D39" s="2"/>
      <c r="E39" s="3" t="s">
        <v>180</v>
      </c>
      <c r="F39" s="16">
        <v>425.883</v>
      </c>
      <c r="G39" s="16">
        <v>4.917</v>
      </c>
      <c r="H39" s="11"/>
      <c r="I39" s="30"/>
      <c r="J39" s="30"/>
      <c r="K39" s="30"/>
      <c r="L39" s="30"/>
      <c r="M39" s="47"/>
    </row>
    <row x14ac:dyDescent="0.25" r="40" customHeight="1" ht="18.75">
      <c r="A40" s="1" t="s">
        <v>144</v>
      </c>
      <c r="B40" s="1"/>
      <c r="C40" s="1" t="s">
        <v>181</v>
      </c>
      <c r="D40" s="2"/>
      <c r="E40" s="3" t="s">
        <v>181</v>
      </c>
      <c r="F40" s="16">
        <v>344.429</v>
      </c>
      <c r="G40" s="16">
        <v>4.248</v>
      </c>
      <c r="H40" s="11"/>
      <c r="I40" s="30"/>
      <c r="J40" s="30"/>
      <c r="K40" s="30"/>
      <c r="L40" s="30"/>
      <c r="M40" s="47"/>
    </row>
    <row x14ac:dyDescent="0.25" r="41" customHeight="1" ht="18.75">
      <c r="A41" s="1" t="s">
        <v>144</v>
      </c>
      <c r="B41" s="1"/>
      <c r="C41" s="1" t="s">
        <v>182</v>
      </c>
      <c r="D41" s="2"/>
      <c r="E41" s="3" t="s">
        <v>182</v>
      </c>
      <c r="F41" s="16">
        <v>288.128</v>
      </c>
      <c r="G41" s="16">
        <v>3.991</v>
      </c>
      <c r="H41" s="11"/>
      <c r="I41" s="30"/>
      <c r="J41" s="30"/>
      <c r="K41" s="30"/>
      <c r="L41" s="30"/>
      <c r="M41" s="47"/>
    </row>
    <row x14ac:dyDescent="0.25" r="42" customHeight="1" ht="18.75">
      <c r="A42" s="1" t="s">
        <v>144</v>
      </c>
      <c r="B42" s="1"/>
      <c r="C42" s="1" t="s">
        <v>183</v>
      </c>
      <c r="D42" s="2"/>
      <c r="E42" s="3" t="s">
        <v>183</v>
      </c>
      <c r="F42" s="16">
        <v>248.06</v>
      </c>
      <c r="G42" s="16">
        <v>3.988</v>
      </c>
      <c r="H42" s="11"/>
      <c r="I42" s="30"/>
      <c r="J42" s="30"/>
      <c r="K42" s="30"/>
      <c r="L42" s="30"/>
      <c r="M42" s="47"/>
    </row>
    <row x14ac:dyDescent="0.25" r="43" customHeight="1" ht="18.75">
      <c r="A43" s="1" t="s">
        <v>144</v>
      </c>
      <c r="B43" s="1"/>
      <c r="C43" s="1" t="s">
        <v>184</v>
      </c>
      <c r="D43" s="2"/>
      <c r="E43" s="3" t="s">
        <v>184</v>
      </c>
      <c r="F43" s="16">
        <v>231.066</v>
      </c>
      <c r="G43" s="16">
        <v>4.187</v>
      </c>
      <c r="H43" s="11"/>
      <c r="I43" s="30"/>
      <c r="J43" s="30"/>
      <c r="K43" s="30"/>
      <c r="L43" s="30"/>
      <c r="M43" s="47"/>
    </row>
    <row x14ac:dyDescent="0.25" r="44" customHeight="1" ht="18.75">
      <c r="A44" s="1" t="s">
        <v>144</v>
      </c>
      <c r="B44" s="1"/>
      <c r="C44" s="1" t="s">
        <v>185</v>
      </c>
      <c r="D44" s="2"/>
      <c r="E44" s="3" t="s">
        <v>185</v>
      </c>
      <c r="F44" s="16">
        <v>238.427</v>
      </c>
      <c r="G44" s="16">
        <v>4.635</v>
      </c>
      <c r="H44" s="11"/>
      <c r="I44" s="30"/>
      <c r="J44" s="30"/>
      <c r="K44" s="30"/>
      <c r="L44" s="30"/>
      <c r="M44" s="47"/>
    </row>
    <row x14ac:dyDescent="0.25" r="45" customHeight="1" ht="18.75">
      <c r="A45" s="1" t="s">
        <v>144</v>
      </c>
      <c r="B45" s="1"/>
      <c r="C45" s="1" t="s">
        <v>186</v>
      </c>
      <c r="D45" s="2"/>
      <c r="E45" s="3" t="s">
        <v>186</v>
      </c>
      <c r="F45" s="16">
        <v>262.891</v>
      </c>
      <c r="G45" s="16">
        <v>5.212</v>
      </c>
      <c r="H45" s="11"/>
      <c r="I45" s="30"/>
      <c r="J45" s="30"/>
      <c r="K45" s="30"/>
      <c r="L45" s="30"/>
      <c r="M45" s="47"/>
    </row>
    <row x14ac:dyDescent="0.25" r="46" customHeight="1" ht="18.75">
      <c r="A46" s="1" t="s">
        <v>144</v>
      </c>
      <c r="B46" s="1"/>
      <c r="C46" s="1" t="s">
        <v>187</v>
      </c>
      <c r="D46" s="2"/>
      <c r="E46" s="3" t="s">
        <v>187</v>
      </c>
      <c r="F46" s="16">
        <v>289.96</v>
      </c>
      <c r="G46" s="16">
        <v>5.685</v>
      </c>
      <c r="H46" s="11"/>
      <c r="I46" s="30"/>
      <c r="J46" s="30"/>
      <c r="K46" s="30"/>
      <c r="L46" s="30"/>
      <c r="M46" s="47"/>
    </row>
    <row x14ac:dyDescent="0.25" r="47" customHeight="1" ht="18.75">
      <c r="A47" s="1" t="s">
        <v>144</v>
      </c>
      <c r="B47" s="1"/>
      <c r="C47" s="1" t="s">
        <v>188</v>
      </c>
      <c r="D47" s="2"/>
      <c r="E47" s="3" t="s">
        <v>188</v>
      </c>
      <c r="F47" s="16">
        <v>312.774</v>
      </c>
      <c r="G47" s="16">
        <v>6.057</v>
      </c>
      <c r="H47" s="11"/>
      <c r="I47" s="30"/>
      <c r="J47" s="30"/>
      <c r="K47" s="30"/>
      <c r="L47" s="30"/>
      <c r="M47" s="47"/>
    </row>
    <row x14ac:dyDescent="0.25" r="48" customHeight="1" ht="18.75">
      <c r="A48" s="1" t="s">
        <v>144</v>
      </c>
      <c r="B48" s="1"/>
      <c r="C48" s="1" t="s">
        <v>189</v>
      </c>
      <c r="D48" s="2"/>
      <c r="E48" s="3" t="s">
        <v>189</v>
      </c>
      <c r="F48" s="16">
        <v>326.917</v>
      </c>
      <c r="G48" s="16">
        <v>6.298</v>
      </c>
      <c r="H48" s="11"/>
      <c r="I48" s="30"/>
      <c r="J48" s="30"/>
      <c r="K48" s="30"/>
      <c r="L48" s="30"/>
      <c r="M48" s="47"/>
    </row>
    <row x14ac:dyDescent="0.25" r="49" customHeight="1" ht="18.75">
      <c r="A49" s="1" t="s">
        <v>144</v>
      </c>
      <c r="B49" s="1"/>
      <c r="C49" s="1" t="s">
        <v>190</v>
      </c>
      <c r="D49" s="2"/>
      <c r="E49" s="3" t="s">
        <v>190</v>
      </c>
      <c r="F49" s="16">
        <v>348.031</v>
      </c>
      <c r="G49" s="16">
        <v>6.667</v>
      </c>
      <c r="H49" s="11"/>
      <c r="I49" s="30"/>
      <c r="J49" s="30"/>
      <c r="K49" s="30"/>
      <c r="L49" s="30"/>
      <c r="M49" s="47"/>
    </row>
    <row x14ac:dyDescent="0.25" r="50" customHeight="1" ht="18.75">
      <c r="A50" s="1" t="s">
        <v>144</v>
      </c>
      <c r="B50" s="1"/>
      <c r="C50" s="1" t="s">
        <v>191</v>
      </c>
      <c r="D50" s="2"/>
      <c r="E50" s="3" t="s">
        <v>191</v>
      </c>
      <c r="F50" s="16">
        <v>382.673</v>
      </c>
      <c r="G50" s="16">
        <v>7.196</v>
      </c>
      <c r="H50" s="11"/>
      <c r="I50" s="30"/>
      <c r="J50" s="30"/>
      <c r="K50" s="30"/>
      <c r="L50" s="30"/>
      <c r="M50" s="47"/>
    </row>
    <row x14ac:dyDescent="0.25" r="51" customHeight="1" ht="18.75">
      <c r="A51" s="1" t="s">
        <v>144</v>
      </c>
      <c r="B51" s="1"/>
      <c r="C51" s="1" t="s">
        <v>192</v>
      </c>
      <c r="D51" s="2"/>
      <c r="E51" s="3" t="s">
        <v>192</v>
      </c>
      <c r="F51" s="16">
        <v>423.143</v>
      </c>
      <c r="G51" s="16">
        <v>7.798</v>
      </c>
      <c r="H51" s="11"/>
      <c r="I51" s="30"/>
      <c r="J51" s="30"/>
      <c r="K51" s="30"/>
      <c r="L51" s="30"/>
      <c r="M51" s="47"/>
    </row>
    <row x14ac:dyDescent="0.25" r="52" customHeight="1" ht="18.75">
      <c r="A52" s="1" t="s">
        <v>144</v>
      </c>
      <c r="B52" s="1"/>
      <c r="C52" s="1" t="s">
        <v>193</v>
      </c>
      <c r="D52" s="2"/>
      <c r="E52" s="3" t="s">
        <v>193</v>
      </c>
      <c r="F52" s="16">
        <v>479.02</v>
      </c>
      <c r="G52" s="16">
        <v>8.584</v>
      </c>
      <c r="H52" s="11"/>
      <c r="I52" s="30"/>
      <c r="J52" s="30"/>
      <c r="K52" s="30"/>
      <c r="L52" s="30"/>
      <c r="M52" s="47"/>
    </row>
    <row x14ac:dyDescent="0.25" r="53" customHeight="1" ht="18.75">
      <c r="A53" s="1" t="s">
        <v>144</v>
      </c>
      <c r="B53" s="1"/>
      <c r="C53" s="1" t="s">
        <v>194</v>
      </c>
      <c r="D53" s="2"/>
      <c r="E53" s="3" t="s">
        <v>194</v>
      </c>
      <c r="F53" s="16">
        <v>560.951</v>
      </c>
      <c r="G53" s="16">
        <v>9.507</v>
      </c>
      <c r="H53" s="11"/>
      <c r="I53" s="30"/>
      <c r="J53" s="30"/>
      <c r="K53" s="30"/>
      <c r="L53" s="30"/>
      <c r="M53" s="47"/>
    </row>
    <row x14ac:dyDescent="0.25" r="54" customHeight="1" ht="18.75">
      <c r="A54" s="1" t="s">
        <v>144</v>
      </c>
      <c r="B54" s="1"/>
      <c r="C54" s="1" t="s">
        <v>195</v>
      </c>
      <c r="D54" s="2"/>
      <c r="E54" s="3" t="s">
        <v>195</v>
      </c>
      <c r="F54" s="16">
        <v>657.866</v>
      </c>
      <c r="G54" s="16">
        <v>10.386</v>
      </c>
      <c r="H54" s="11"/>
      <c r="I54" s="30"/>
      <c r="J54" s="30"/>
      <c r="K54" s="30"/>
      <c r="L54" s="30"/>
      <c r="M54" s="47"/>
    </row>
    <row x14ac:dyDescent="0.25" r="55" customHeight="1" ht="18.75">
      <c r="A55" s="1" t="s">
        <v>144</v>
      </c>
      <c r="B55" s="1"/>
      <c r="C55" s="1" t="s">
        <v>196</v>
      </c>
      <c r="D55" s="2"/>
      <c r="E55" s="3" t="s">
        <v>196</v>
      </c>
      <c r="F55" s="16">
        <v>771.711</v>
      </c>
      <c r="G55" s="16">
        <v>11.293</v>
      </c>
      <c r="H55" s="11"/>
      <c r="I55" s="30"/>
      <c r="J55" s="30"/>
      <c r="K55" s="30"/>
      <c r="L55" s="30"/>
      <c r="M55" s="47"/>
    </row>
    <row x14ac:dyDescent="0.25" r="56" customHeight="1" ht="18.75">
      <c r="A56" s="1" t="s">
        <v>144</v>
      </c>
      <c r="B56" s="1"/>
      <c r="C56" s="1" t="s">
        <v>197</v>
      </c>
      <c r="D56" s="2"/>
      <c r="E56" s="3" t="s">
        <v>197</v>
      </c>
      <c r="F56" s="16">
        <v>913.276</v>
      </c>
      <c r="G56" s="16">
        <v>12.367</v>
      </c>
      <c r="H56" s="11"/>
      <c r="I56" s="30"/>
      <c r="J56" s="30"/>
      <c r="K56" s="30"/>
      <c r="L56" s="30"/>
      <c r="M56" s="47"/>
    </row>
    <row x14ac:dyDescent="0.25" r="57" customHeight="1" ht="18.75">
      <c r="A57" s="1" t="s">
        <v>144</v>
      </c>
      <c r="B57" s="1"/>
      <c r="C57" s="1" t="s">
        <v>198</v>
      </c>
      <c r="D57" s="2"/>
      <c r="E57" s="3" t="s">
        <v>198</v>
      </c>
      <c r="F57" s="16">
        <v>1062.369</v>
      </c>
      <c r="G57" s="16">
        <v>13.401</v>
      </c>
      <c r="H57" s="11"/>
      <c r="I57" s="30"/>
      <c r="J57" s="30"/>
      <c r="K57" s="30"/>
      <c r="L57" s="30"/>
      <c r="M57" s="47"/>
    </row>
    <row x14ac:dyDescent="0.25" r="58" customHeight="1" ht="18.75">
      <c r="A58" s="1" t="s">
        <v>144</v>
      </c>
      <c r="B58" s="1"/>
      <c r="C58" s="1" t="s">
        <v>199</v>
      </c>
      <c r="D58" s="2"/>
      <c r="E58" s="3" t="s">
        <v>199</v>
      </c>
      <c r="F58" s="16">
        <v>1190.795</v>
      </c>
      <c r="G58" s="16">
        <v>14.271</v>
      </c>
      <c r="H58" s="11"/>
      <c r="I58" s="30"/>
      <c r="J58" s="30"/>
      <c r="K58" s="30"/>
      <c r="L58" s="30"/>
      <c r="M58" s="47"/>
    </row>
    <row x14ac:dyDescent="0.25" r="59" customHeight="1" ht="18.75">
      <c r="A59" s="1" t="s">
        <v>144</v>
      </c>
      <c r="B59" s="1"/>
      <c r="C59" s="1" t="s">
        <v>200</v>
      </c>
      <c r="D59" s="2"/>
      <c r="E59" s="3" t="s">
        <v>200</v>
      </c>
      <c r="F59" s="16">
        <v>1303.201</v>
      </c>
      <c r="G59" s="16">
        <v>15.034</v>
      </c>
      <c r="H59" s="11"/>
      <c r="I59" s="30"/>
      <c r="J59" s="30"/>
      <c r="K59" s="30"/>
      <c r="L59" s="30"/>
      <c r="M59" s="47"/>
    </row>
    <row x14ac:dyDescent="0.25" r="60" customHeight="1" ht="18.75">
      <c r="A60" s="1" t="s">
        <v>144</v>
      </c>
      <c r="B60" s="1"/>
      <c r="C60" s="1" t="s">
        <v>201</v>
      </c>
      <c r="D60" s="2"/>
      <c r="E60" s="3" t="s">
        <v>201</v>
      </c>
      <c r="F60" s="16">
        <v>1409.057</v>
      </c>
      <c r="G60" s="16">
        <v>15.649</v>
      </c>
      <c r="H60" s="11"/>
      <c r="I60" s="30"/>
      <c r="J60" s="30"/>
      <c r="K60" s="30"/>
      <c r="L60" s="30"/>
      <c r="M60" s="47"/>
    </row>
    <row x14ac:dyDescent="0.25" r="61" customHeight="1" ht="18.75">
      <c r="A61" s="1" t="s">
        <v>144</v>
      </c>
      <c r="B61" s="1"/>
      <c r="C61" s="1" t="s">
        <v>202</v>
      </c>
      <c r="D61" s="2"/>
      <c r="E61" s="3" t="s">
        <v>202</v>
      </c>
      <c r="F61" s="16">
        <v>1496.99</v>
      </c>
      <c r="G61" s="16">
        <v>15.97</v>
      </c>
      <c r="H61" s="11"/>
      <c r="I61" s="30"/>
      <c r="J61" s="30"/>
      <c r="K61" s="30"/>
      <c r="L61" s="30"/>
      <c r="M61" s="47"/>
    </row>
    <row x14ac:dyDescent="0.25" r="62" customHeight="1" ht="18.75">
      <c r="A62" s="1" t="s">
        <v>144</v>
      </c>
      <c r="B62" s="1"/>
      <c r="C62" s="1" t="s">
        <v>203</v>
      </c>
      <c r="D62" s="2"/>
      <c r="E62" s="3" t="s">
        <v>203</v>
      </c>
      <c r="F62" s="16">
        <v>1572.184</v>
      </c>
      <c r="G62" s="16">
        <v>16.024</v>
      </c>
      <c r="H62" s="11"/>
      <c r="I62" s="30"/>
      <c r="J62" s="30"/>
      <c r="K62" s="30"/>
      <c r="L62" s="30"/>
      <c r="M62" s="47"/>
    </row>
    <row x14ac:dyDescent="0.25" r="63" customHeight="1" ht="18.75">
      <c r="A63" s="1" t="s">
        <v>144</v>
      </c>
      <c r="B63" s="1"/>
      <c r="C63" s="1" t="s">
        <v>204</v>
      </c>
      <c r="D63" s="2"/>
      <c r="E63" s="45" t="s">
        <v>205</v>
      </c>
      <c r="F63" s="16">
        <v>1638.008</v>
      </c>
      <c r="G63" s="16">
        <v>15.789</v>
      </c>
      <c r="H63" s="11"/>
      <c r="I63" s="30"/>
      <c r="J63" s="30"/>
      <c r="K63" s="30"/>
      <c r="L63" s="30"/>
      <c r="M63" s="47"/>
    </row>
    <row x14ac:dyDescent="0.25" r="64" customHeight="1" ht="18.75">
      <c r="A64" s="1" t="s">
        <v>144</v>
      </c>
      <c r="B64" s="1"/>
      <c r="C64" s="1" t="s">
        <v>206</v>
      </c>
      <c r="D64" s="2"/>
      <c r="E64" s="45" t="s">
        <v>207</v>
      </c>
      <c r="F64" s="16">
        <v>1686.341</v>
      </c>
      <c r="G64" s="16">
        <v>15.442</v>
      </c>
      <c r="H64" s="11"/>
      <c r="I64" s="30"/>
      <c r="J64" s="30"/>
      <c r="K64" s="30"/>
      <c r="L64" s="30"/>
      <c r="M64" s="47"/>
    </row>
    <row x14ac:dyDescent="0.25" r="65" customHeight="1" ht="18.75">
      <c r="A65" s="1" t="s">
        <v>144</v>
      </c>
      <c r="B65" s="1"/>
      <c r="C65" s="1" t="s">
        <v>208</v>
      </c>
      <c r="D65" s="2"/>
      <c r="E65" s="3" t="s">
        <v>208</v>
      </c>
      <c r="F65" s="16">
        <v>1688.323</v>
      </c>
      <c r="G65" s="16">
        <v>14.707</v>
      </c>
      <c r="H65" s="11"/>
      <c r="I65" s="30"/>
      <c r="J65" s="30"/>
      <c r="K65" s="30"/>
      <c r="L65" s="30"/>
      <c r="M65" s="47"/>
    </row>
    <row x14ac:dyDescent="0.25" r="66" customHeight="1" ht="18.75">
      <c r="A66" s="1" t="s">
        <v>144</v>
      </c>
      <c r="B66" s="1"/>
      <c r="C66" s="1" t="s">
        <v>209</v>
      </c>
      <c r="D66" s="2"/>
      <c r="E66" s="3" t="s">
        <v>209</v>
      </c>
      <c r="F66" s="16">
        <v>1633.767</v>
      </c>
      <c r="G66" s="16">
        <v>13.368</v>
      </c>
      <c r="H66" s="11"/>
      <c r="I66" s="30"/>
      <c r="J66" s="30"/>
      <c r="K66" s="30"/>
      <c r="L66" s="30"/>
      <c r="M66" s="47"/>
    </row>
    <row x14ac:dyDescent="0.25" r="67" customHeight="1" ht="18.75">
      <c r="A67" s="1" t="s">
        <v>144</v>
      </c>
      <c r="B67" s="1"/>
      <c r="C67" s="1" t="s">
        <v>210</v>
      </c>
      <c r="D67" s="2"/>
      <c r="E67" s="45" t="s">
        <v>211</v>
      </c>
      <c r="F67" s="16">
        <v>1565.755</v>
      </c>
      <c r="G67" s="16">
        <v>11.855</v>
      </c>
      <c r="H67" s="11"/>
      <c r="I67" s="30"/>
      <c r="J67" s="30"/>
      <c r="K67" s="30"/>
      <c r="L67" s="30"/>
      <c r="M67" s="47"/>
    </row>
    <row x14ac:dyDescent="0.25" r="68" customHeight="1" ht="18.75">
      <c r="A68" s="1" t="s">
        <v>144</v>
      </c>
      <c r="B68" s="1"/>
      <c r="C68" s="1" t="s">
        <v>212</v>
      </c>
      <c r="D68" s="2"/>
      <c r="E68" s="3" t="s">
        <v>212</v>
      </c>
      <c r="F68" s="16">
        <v>1501.853</v>
      </c>
      <c r="G68" s="16">
        <v>10.351</v>
      </c>
      <c r="H68" s="11"/>
      <c r="I68" s="30"/>
      <c r="J68" s="30"/>
      <c r="K68" s="30"/>
      <c r="L68" s="30"/>
      <c r="M68" s="47"/>
    </row>
    <row x14ac:dyDescent="0.25" r="69" customHeight="1" ht="18.75">
      <c r="A69" s="1" t="s">
        <v>144</v>
      </c>
      <c r="B69" s="1"/>
      <c r="C69" s="1" t="s">
        <v>213</v>
      </c>
      <c r="D69" s="2"/>
      <c r="E69" s="3" t="s">
        <v>213</v>
      </c>
      <c r="F69" s="16">
        <v>1450.404</v>
      </c>
      <c r="G69" s="16">
        <v>8.937</v>
      </c>
      <c r="H69" s="11"/>
      <c r="I69" s="30"/>
      <c r="J69" s="30"/>
      <c r="K69" s="30"/>
      <c r="L69" s="30"/>
      <c r="M69" s="47"/>
    </row>
    <row x14ac:dyDescent="0.25" r="70" customHeight="1" ht="18.75">
      <c r="A70" s="2"/>
      <c r="B70" s="2"/>
      <c r="C70" s="2"/>
      <c r="D70" s="2"/>
      <c r="E70" s="2"/>
      <c r="F70" s="30"/>
      <c r="G70" s="30"/>
      <c r="H70" s="11"/>
      <c r="I70" s="30"/>
      <c r="J70" s="30"/>
      <c r="K70" s="30"/>
      <c r="L70" s="30"/>
      <c r="M70" s="9"/>
    </row>
    <row x14ac:dyDescent="0.25" r="71" customHeight="1" ht="18.75">
      <c r="A71" s="1"/>
      <c r="B71" s="1"/>
      <c r="C71" s="1"/>
      <c r="D71" s="2"/>
      <c r="E71" s="2"/>
      <c r="F71" s="30"/>
      <c r="G71" s="30"/>
      <c r="H71" s="11"/>
      <c r="I71" s="30"/>
      <c r="J71" s="30"/>
      <c r="K71" s="30"/>
      <c r="L71" s="30"/>
      <c r="M71" s="47"/>
    </row>
    <row x14ac:dyDescent="0.25" r="72" customHeight="1" ht="18.75">
      <c r="A72" s="1"/>
      <c r="B72" s="1"/>
      <c r="C72" s="1"/>
      <c r="D72" s="2"/>
      <c r="E72" s="2"/>
      <c r="F72" s="30"/>
      <c r="G72" s="30"/>
      <c r="H72" s="11"/>
      <c r="I72" s="30"/>
      <c r="J72" s="30"/>
      <c r="K72" s="30"/>
      <c r="L72" s="30"/>
      <c r="M72" s="47"/>
    </row>
    <row x14ac:dyDescent="0.25" r="73" customHeight="1" ht="18.75">
      <c r="A73" s="1"/>
      <c r="B73" s="1"/>
      <c r="C73" s="1"/>
      <c r="D73" s="2"/>
      <c r="E73" s="2"/>
      <c r="F73" s="30"/>
      <c r="G73" s="30"/>
      <c r="H73" s="11"/>
      <c r="I73" s="30"/>
      <c r="J73" s="30"/>
      <c r="K73" s="30"/>
      <c r="L73" s="30"/>
      <c r="M73" s="47"/>
    </row>
    <row x14ac:dyDescent="0.25" r="74" customHeight="1" ht="18.75">
      <c r="A74" s="1"/>
      <c r="B74" s="1"/>
      <c r="C74" s="1"/>
      <c r="D74" s="2"/>
      <c r="E74" s="2"/>
      <c r="F74" s="30"/>
      <c r="G74" s="30"/>
      <c r="H74" s="11"/>
      <c r="I74" s="30"/>
      <c r="J74" s="30"/>
      <c r="K74" s="30"/>
      <c r="L74" s="30"/>
      <c r="M74" s="47"/>
    </row>
    <row x14ac:dyDescent="0.25" r="75" customHeight="1" ht="18.75">
      <c r="A75" s="1"/>
      <c r="B75" s="1"/>
      <c r="C75" s="1"/>
      <c r="D75" s="2"/>
      <c r="E75" s="2"/>
      <c r="F75" s="30"/>
      <c r="G75" s="30"/>
      <c r="H75" s="11"/>
      <c r="I75" s="30"/>
      <c r="J75" s="30"/>
      <c r="K75" s="30"/>
      <c r="L75" s="30"/>
      <c r="M75" s="9"/>
    </row>
    <row x14ac:dyDescent="0.25" r="76" customHeight="1" ht="18.75">
      <c r="A76" s="1"/>
      <c r="B76" s="1"/>
      <c r="C76" s="1"/>
      <c r="D76" s="2"/>
      <c r="E76" s="2"/>
      <c r="F76" s="30"/>
      <c r="G76" s="30"/>
      <c r="H76" s="11"/>
      <c r="I76" s="30"/>
      <c r="J76" s="30"/>
      <c r="K76" s="30"/>
      <c r="L76" s="30"/>
      <c r="M76" s="9"/>
    </row>
    <row x14ac:dyDescent="0.25" r="77" customHeight="1" ht="18.75">
      <c r="A77" s="1"/>
      <c r="B77" s="1"/>
      <c r="C77" s="1"/>
      <c r="D77" s="2"/>
      <c r="E77" s="2"/>
      <c r="F77" s="30"/>
      <c r="G77" s="30"/>
      <c r="H77" s="11"/>
      <c r="I77" s="30"/>
      <c r="J77" s="30"/>
      <c r="K77" s="30"/>
      <c r="L77" s="30"/>
      <c r="M77" s="47"/>
    </row>
    <row x14ac:dyDescent="0.25" r="78" customHeight="1" ht="18.75">
      <c r="A78" s="1"/>
      <c r="B78" s="1"/>
      <c r="C78" s="1"/>
      <c r="D78" s="2"/>
      <c r="E78" s="2"/>
      <c r="F78" s="30"/>
      <c r="G78" s="30"/>
      <c r="H78" s="11"/>
      <c r="I78" s="30"/>
      <c r="J78" s="30"/>
      <c r="K78" s="30"/>
      <c r="L78" s="30"/>
      <c r="M78" s="47"/>
    </row>
    <row x14ac:dyDescent="0.25" r="79" customHeight="1" ht="18.75">
      <c r="A79" s="1"/>
      <c r="B79" s="1"/>
      <c r="C79" s="1"/>
      <c r="D79" s="2"/>
      <c r="E79" s="2"/>
      <c r="F79" s="30"/>
      <c r="G79" s="30"/>
      <c r="H79" s="11"/>
      <c r="I79" s="30"/>
      <c r="J79" s="30"/>
      <c r="K79" s="30"/>
      <c r="L79" s="30"/>
      <c r="M79" s="47"/>
    </row>
    <row x14ac:dyDescent="0.25" r="80" customHeight="1" ht="18.75">
      <c r="A80" s="1"/>
      <c r="B80" s="1"/>
      <c r="C80" s="1"/>
      <c r="D80" s="2"/>
      <c r="E80" s="2"/>
      <c r="F80" s="30"/>
      <c r="G80" s="30"/>
      <c r="H80" s="11"/>
      <c r="I80" s="30"/>
      <c r="J80" s="30"/>
      <c r="K80" s="30"/>
      <c r="L80" s="30"/>
      <c r="M80" s="47"/>
    </row>
    <row x14ac:dyDescent="0.25" r="81" customHeight="1" ht="18.75">
      <c r="A81" s="2"/>
      <c r="B81" s="2"/>
      <c r="C81" s="2"/>
      <c r="D81" s="2"/>
      <c r="E81" s="2"/>
      <c r="F81" s="30"/>
      <c r="G81" s="30"/>
      <c r="H81" s="11"/>
      <c r="I81" s="30"/>
      <c r="J81" s="30"/>
      <c r="K81" s="30"/>
      <c r="L81" s="30"/>
      <c r="M81" s="9"/>
    </row>
    <row x14ac:dyDescent="0.25" r="82" customHeight="1" ht="18.75">
      <c r="A82" s="1"/>
      <c r="B82" s="1"/>
      <c r="C82" s="1"/>
      <c r="D82" s="2"/>
      <c r="E82" s="2"/>
      <c r="F82" s="30"/>
      <c r="G82" s="30"/>
      <c r="H82" s="11"/>
      <c r="I82" s="30"/>
      <c r="J82" s="30"/>
      <c r="K82" s="30"/>
      <c r="L82" s="30"/>
      <c r="M82" s="47"/>
    </row>
    <row x14ac:dyDescent="0.25" r="83" customHeight="1" ht="18.75">
      <c r="A83" s="1"/>
      <c r="B83" s="1"/>
      <c r="C83" s="1"/>
      <c r="D83" s="2"/>
      <c r="E83" s="2"/>
      <c r="F83" s="30"/>
      <c r="G83" s="30"/>
      <c r="H83" s="11"/>
      <c r="I83" s="30"/>
      <c r="J83" s="30"/>
      <c r="K83" s="30"/>
      <c r="L83" s="30"/>
      <c r="M83" s="47"/>
    </row>
    <row x14ac:dyDescent="0.25" r="84" customHeight="1" ht="18.75">
      <c r="A84" s="1"/>
      <c r="B84" s="1"/>
      <c r="C84" s="1"/>
      <c r="D84" s="2"/>
      <c r="E84" s="2"/>
      <c r="F84" s="30"/>
      <c r="G84" s="30"/>
      <c r="H84" s="11"/>
      <c r="I84" s="30"/>
      <c r="J84" s="30"/>
      <c r="K84" s="30"/>
      <c r="L84" s="30"/>
      <c r="M84" s="47"/>
    </row>
    <row x14ac:dyDescent="0.25" r="85" customHeight="1" ht="18.75">
      <c r="A85" s="1"/>
      <c r="B85" s="1"/>
      <c r="C85" s="1"/>
      <c r="D85" s="2"/>
      <c r="E85" s="2"/>
      <c r="F85" s="30"/>
      <c r="G85" s="30"/>
      <c r="H85" s="11"/>
      <c r="I85" s="30"/>
      <c r="J85" s="30"/>
      <c r="K85" s="30"/>
      <c r="L85" s="30"/>
      <c r="M85" s="47"/>
    </row>
    <row x14ac:dyDescent="0.25" r="86" customHeight="1" ht="18.75">
      <c r="A86" s="1"/>
      <c r="B86" s="1"/>
      <c r="C86" s="1"/>
      <c r="D86" s="2"/>
      <c r="E86" s="2"/>
      <c r="F86" s="30"/>
      <c r="G86" s="30"/>
      <c r="H86" s="11"/>
      <c r="I86" s="30"/>
      <c r="J86" s="30"/>
      <c r="K86" s="30"/>
      <c r="L86" s="30"/>
      <c r="M86" s="47"/>
    </row>
    <row x14ac:dyDescent="0.25" r="87" customHeight="1" ht="18.75">
      <c r="A87" s="1"/>
      <c r="B87" s="1"/>
      <c r="C87" s="1"/>
      <c r="D87" s="2"/>
      <c r="E87" s="2"/>
      <c r="F87" s="30"/>
      <c r="G87" s="30"/>
      <c r="H87" s="11"/>
      <c r="I87" s="30"/>
      <c r="J87" s="30"/>
      <c r="K87" s="30"/>
      <c r="L87" s="30"/>
      <c r="M87" s="47"/>
    </row>
    <row x14ac:dyDescent="0.25" r="88" customHeight="1" ht="18.75">
      <c r="A88" s="1"/>
      <c r="B88" s="1"/>
      <c r="C88" s="1"/>
      <c r="D88" s="2"/>
      <c r="E88" s="2"/>
      <c r="F88" s="30"/>
      <c r="G88" s="30"/>
      <c r="H88" s="11"/>
      <c r="I88" s="30"/>
      <c r="J88" s="30"/>
      <c r="K88" s="30"/>
      <c r="L88" s="30"/>
      <c r="M88" s="47"/>
    </row>
    <row x14ac:dyDescent="0.25" r="89" customHeight="1" ht="18.75">
      <c r="A89" s="1"/>
      <c r="B89" s="1"/>
      <c r="C89" s="1"/>
      <c r="D89" s="2"/>
      <c r="E89" s="2"/>
      <c r="F89" s="30"/>
      <c r="G89" s="30"/>
      <c r="H89" s="11"/>
      <c r="I89" s="30"/>
      <c r="J89" s="30"/>
      <c r="K89" s="30"/>
      <c r="L89" s="30"/>
      <c r="M89" s="47"/>
    </row>
    <row x14ac:dyDescent="0.25" r="90" customHeight="1" ht="18.75">
      <c r="A90" s="1"/>
      <c r="B90" s="1"/>
      <c r="C90" s="1"/>
      <c r="D90" s="2"/>
      <c r="E90" s="2"/>
      <c r="F90" s="30"/>
      <c r="G90" s="30"/>
      <c r="H90" s="11"/>
      <c r="I90" s="30"/>
      <c r="J90" s="30"/>
      <c r="K90" s="30"/>
      <c r="L90" s="30"/>
      <c r="M90" s="47"/>
    </row>
    <row x14ac:dyDescent="0.25" r="91" customHeight="1" ht="18.75">
      <c r="A91" s="1"/>
      <c r="B91" s="1"/>
      <c r="C91" s="1"/>
      <c r="D91" s="2"/>
      <c r="E91" s="2"/>
      <c r="F91" s="30"/>
      <c r="G91" s="30"/>
      <c r="H91" s="11"/>
      <c r="I91" s="30"/>
      <c r="J91" s="30"/>
      <c r="K91" s="30"/>
      <c r="L91" s="30"/>
      <c r="M91" s="47"/>
    </row>
    <row x14ac:dyDescent="0.25" r="92" customHeight="1" ht="18.75">
      <c r="A92" s="1"/>
      <c r="B92" s="1"/>
      <c r="C92" s="1"/>
      <c r="D92" s="2"/>
      <c r="E92" s="2"/>
      <c r="F92" s="30"/>
      <c r="G92" s="30"/>
      <c r="H92" s="11"/>
      <c r="I92" s="30"/>
      <c r="J92" s="30"/>
      <c r="K92" s="30"/>
      <c r="L92" s="30"/>
      <c r="M92" s="47"/>
    </row>
    <row x14ac:dyDescent="0.25" r="93" customHeight="1" ht="18.75">
      <c r="A93" s="1"/>
      <c r="B93" s="1"/>
      <c r="C93" s="1"/>
      <c r="D93" s="2"/>
      <c r="E93" s="2"/>
      <c r="F93" s="30"/>
      <c r="G93" s="30"/>
      <c r="H93" s="11"/>
      <c r="I93" s="30"/>
      <c r="J93" s="30"/>
      <c r="K93" s="30"/>
      <c r="L93" s="30"/>
      <c r="M93" s="47"/>
    </row>
    <row x14ac:dyDescent="0.25" r="94" customHeight="1" ht="18.75">
      <c r="A94" s="1"/>
      <c r="B94" s="1"/>
      <c r="C94" s="1"/>
      <c r="D94" s="2"/>
      <c r="E94" s="2"/>
      <c r="F94" s="30"/>
      <c r="G94" s="30"/>
      <c r="H94" s="11"/>
      <c r="I94" s="30"/>
      <c r="J94" s="30"/>
      <c r="K94" s="30"/>
      <c r="L94" s="30"/>
      <c r="M94" s="47"/>
    </row>
    <row x14ac:dyDescent="0.25" r="95" customHeight="1" ht="18.75">
      <c r="A95" s="1"/>
      <c r="B95" s="1"/>
      <c r="C95" s="1"/>
      <c r="D95" s="2"/>
      <c r="E95" s="2"/>
      <c r="F95" s="30"/>
      <c r="G95" s="30"/>
      <c r="H95" s="11"/>
      <c r="I95" s="30"/>
      <c r="J95" s="30"/>
      <c r="K95" s="30"/>
      <c r="L95" s="30"/>
      <c r="M95" s="47"/>
    </row>
    <row x14ac:dyDescent="0.25" r="96" customHeight="1" ht="18.75">
      <c r="A96" s="1"/>
      <c r="B96" s="1"/>
      <c r="C96" s="1"/>
      <c r="D96" s="2"/>
      <c r="E96" s="2"/>
      <c r="F96" s="30"/>
      <c r="G96" s="30"/>
      <c r="H96" s="11"/>
      <c r="I96" s="30"/>
      <c r="J96" s="30"/>
      <c r="K96" s="30"/>
      <c r="L96" s="30"/>
      <c r="M96" s="47"/>
    </row>
    <row x14ac:dyDescent="0.25" r="97" customHeight="1" ht="18.75">
      <c r="A97" s="1"/>
      <c r="B97" s="1"/>
      <c r="C97" s="1"/>
      <c r="D97" s="2"/>
      <c r="E97" s="2"/>
      <c r="F97" s="30"/>
      <c r="G97" s="30"/>
      <c r="H97" s="11"/>
      <c r="I97" s="30"/>
      <c r="J97" s="30"/>
      <c r="K97" s="30"/>
      <c r="L97" s="30"/>
      <c r="M97" s="47"/>
    </row>
    <row x14ac:dyDescent="0.25" r="98" customHeight="1" ht="18.75">
      <c r="A98" s="1"/>
      <c r="B98" s="1"/>
      <c r="C98" s="1"/>
      <c r="D98" s="2"/>
      <c r="E98" s="2"/>
      <c r="F98" s="30"/>
      <c r="G98" s="30"/>
      <c r="H98" s="11"/>
      <c r="I98" s="30"/>
      <c r="J98" s="30"/>
      <c r="K98" s="30"/>
      <c r="L98" s="30"/>
      <c r="M98" s="47"/>
    </row>
    <row x14ac:dyDescent="0.25" r="99" customHeight="1" ht="18.75">
      <c r="A99" s="1"/>
      <c r="B99" s="1"/>
      <c r="C99" s="1"/>
      <c r="D99" s="2"/>
      <c r="E99" s="2"/>
      <c r="F99" s="30"/>
      <c r="G99" s="30"/>
      <c r="H99" s="11"/>
      <c r="I99" s="30"/>
      <c r="J99" s="30"/>
      <c r="K99" s="30"/>
      <c r="L99" s="30"/>
      <c r="M99" s="47"/>
    </row>
    <row x14ac:dyDescent="0.25" r="100" customHeight="1" ht="18.75">
      <c r="A100" s="1"/>
      <c r="B100" s="1"/>
      <c r="C100" s="1"/>
      <c r="D100" s="2"/>
      <c r="E100" s="2"/>
      <c r="F100" s="30"/>
      <c r="G100" s="30"/>
      <c r="H100" s="11"/>
      <c r="I100" s="30"/>
      <c r="J100" s="30"/>
      <c r="K100" s="30"/>
      <c r="L100" s="30"/>
      <c r="M100" s="47"/>
    </row>
    <row x14ac:dyDescent="0.25" r="101" customHeight="1" ht="18.75">
      <c r="A101" s="1"/>
      <c r="B101" s="1"/>
      <c r="C101" s="1"/>
      <c r="D101" s="2"/>
      <c r="E101" s="2"/>
      <c r="F101" s="30"/>
      <c r="G101" s="30"/>
      <c r="H101" s="11"/>
      <c r="I101" s="30"/>
      <c r="J101" s="30"/>
      <c r="K101" s="30"/>
      <c r="L101" s="30"/>
      <c r="M101" s="47"/>
    </row>
    <row x14ac:dyDescent="0.25" r="102" customHeight="1" ht="18.75">
      <c r="A102" s="1"/>
      <c r="B102" s="1"/>
      <c r="C102" s="1"/>
      <c r="D102" s="2"/>
      <c r="E102" s="2"/>
      <c r="F102" s="30"/>
      <c r="G102" s="30"/>
      <c r="H102" s="11"/>
      <c r="I102" s="30"/>
      <c r="J102" s="30"/>
      <c r="K102" s="30"/>
      <c r="L102" s="30"/>
      <c r="M102" s="47"/>
    </row>
    <row x14ac:dyDescent="0.25" r="103" customHeight="1" ht="18.75">
      <c r="A103" s="1"/>
      <c r="B103" s="1"/>
      <c r="C103" s="1"/>
      <c r="D103" s="2"/>
      <c r="E103" s="2"/>
      <c r="F103" s="30"/>
      <c r="G103" s="30"/>
      <c r="H103" s="11"/>
      <c r="I103" s="30"/>
      <c r="J103" s="30"/>
      <c r="K103" s="30"/>
      <c r="L103" s="30"/>
      <c r="M103" s="47"/>
    </row>
    <row x14ac:dyDescent="0.25" r="104" customHeight="1" ht="18.75">
      <c r="A104" s="1"/>
      <c r="B104" s="1"/>
      <c r="C104" s="1"/>
      <c r="D104" s="2"/>
      <c r="E104" s="2"/>
      <c r="F104" s="30"/>
      <c r="G104" s="30"/>
      <c r="H104" s="11"/>
      <c r="I104" s="30"/>
      <c r="J104" s="30"/>
      <c r="K104" s="30"/>
      <c r="L104" s="30"/>
      <c r="M104" s="47"/>
    </row>
    <row x14ac:dyDescent="0.25" r="105" customHeight="1" ht="18.75">
      <c r="A105" s="1"/>
      <c r="B105" s="1"/>
      <c r="C105" s="1"/>
      <c r="D105" s="2"/>
      <c r="E105" s="2"/>
      <c r="F105" s="30"/>
      <c r="G105" s="30"/>
      <c r="H105" s="11"/>
      <c r="I105" s="30"/>
      <c r="J105" s="30"/>
      <c r="K105" s="30"/>
      <c r="L105" s="30"/>
      <c r="M105" s="47"/>
    </row>
    <row x14ac:dyDescent="0.25" r="106" customHeight="1" ht="18.75">
      <c r="A106" s="1"/>
      <c r="B106" s="1"/>
      <c r="C106" s="1"/>
      <c r="D106" s="2"/>
      <c r="E106" s="2"/>
      <c r="F106" s="30"/>
      <c r="G106" s="30"/>
      <c r="H106" s="11"/>
      <c r="I106" s="30"/>
      <c r="J106" s="30"/>
      <c r="K106" s="30"/>
      <c r="L106" s="30"/>
      <c r="M106" s="47"/>
    </row>
    <row x14ac:dyDescent="0.25" r="107" customHeight="1" ht="18.75">
      <c r="A107" s="1"/>
      <c r="B107" s="1"/>
      <c r="C107" s="1"/>
      <c r="D107" s="2"/>
      <c r="E107" s="2"/>
      <c r="F107" s="30"/>
      <c r="G107" s="30"/>
      <c r="H107" s="11"/>
      <c r="I107" s="30"/>
      <c r="J107" s="30"/>
      <c r="K107" s="30"/>
      <c r="L107" s="30"/>
      <c r="M107" s="47"/>
    </row>
    <row x14ac:dyDescent="0.25" r="108" customHeight="1" ht="18.75">
      <c r="A108" s="1"/>
      <c r="B108" s="1"/>
      <c r="C108" s="1"/>
      <c r="D108" s="2"/>
      <c r="E108" s="2"/>
      <c r="F108" s="30"/>
      <c r="G108" s="30"/>
      <c r="H108" s="11"/>
      <c r="I108" s="30"/>
      <c r="J108" s="30"/>
      <c r="K108" s="30"/>
      <c r="L108" s="30"/>
      <c r="M108" s="47"/>
    </row>
    <row x14ac:dyDescent="0.25" r="109" customHeight="1" ht="18.75">
      <c r="A109" s="1"/>
      <c r="B109" s="1"/>
      <c r="C109" s="1"/>
      <c r="D109" s="2"/>
      <c r="E109" s="2"/>
      <c r="F109" s="30"/>
      <c r="G109" s="30"/>
      <c r="H109" s="11"/>
      <c r="I109" s="30"/>
      <c r="J109" s="30"/>
      <c r="K109" s="30"/>
      <c r="L109" s="30"/>
      <c r="M109" s="47"/>
    </row>
    <row x14ac:dyDescent="0.25" r="110" customHeight="1" ht="18.75">
      <c r="A110" s="1"/>
      <c r="B110" s="1"/>
      <c r="C110" s="1"/>
      <c r="D110" s="2"/>
      <c r="E110" s="2"/>
      <c r="F110" s="30"/>
      <c r="G110" s="30"/>
      <c r="H110" s="11"/>
      <c r="I110" s="30"/>
      <c r="J110" s="30"/>
      <c r="K110" s="30"/>
      <c r="L110" s="30"/>
      <c r="M110" s="47"/>
    </row>
    <row x14ac:dyDescent="0.25" r="111" customHeight="1" ht="18.75">
      <c r="A111" s="1"/>
      <c r="B111" s="1"/>
      <c r="C111" s="1"/>
      <c r="D111" s="2"/>
      <c r="E111" s="2"/>
      <c r="F111" s="30"/>
      <c r="G111" s="30"/>
      <c r="H111" s="11"/>
      <c r="I111" s="30"/>
      <c r="J111" s="30"/>
      <c r="K111" s="30"/>
      <c r="L111" s="30"/>
      <c r="M111" s="47"/>
    </row>
    <row x14ac:dyDescent="0.25" r="112" customHeight="1" ht="18.75">
      <c r="A112" s="1"/>
      <c r="B112" s="1"/>
      <c r="C112" s="1"/>
      <c r="D112" s="2"/>
      <c r="E112" s="2"/>
      <c r="F112" s="30"/>
      <c r="G112" s="30"/>
      <c r="H112" s="11"/>
      <c r="I112" s="30"/>
      <c r="J112" s="30"/>
      <c r="K112" s="30"/>
      <c r="L112" s="30"/>
      <c r="M112" s="47"/>
    </row>
    <row x14ac:dyDescent="0.25" r="113" customHeight="1" ht="18.75">
      <c r="A113" s="1"/>
      <c r="B113" s="1"/>
      <c r="C113" s="1"/>
      <c r="D113" s="2"/>
      <c r="E113" s="2"/>
      <c r="F113" s="30"/>
      <c r="G113" s="30"/>
      <c r="H113" s="11"/>
      <c r="I113" s="30"/>
      <c r="J113" s="30"/>
      <c r="K113" s="30"/>
      <c r="L113" s="30"/>
      <c r="M113" s="47"/>
    </row>
    <row x14ac:dyDescent="0.25" r="114" customHeight="1" ht="18.75">
      <c r="A114" s="1"/>
      <c r="B114" s="1"/>
      <c r="C114" s="1"/>
      <c r="D114" s="2"/>
      <c r="E114" s="2"/>
      <c r="F114" s="30"/>
      <c r="G114" s="30"/>
      <c r="H114" s="11"/>
      <c r="I114" s="30"/>
      <c r="J114" s="30"/>
      <c r="K114" s="30"/>
      <c r="L114" s="30"/>
      <c r="M114" s="47"/>
    </row>
    <row x14ac:dyDescent="0.25" r="115" customHeight="1" ht="18.75">
      <c r="A115" s="1"/>
      <c r="B115" s="1"/>
      <c r="C115" s="1"/>
      <c r="D115" s="2"/>
      <c r="E115" s="2"/>
      <c r="F115" s="30"/>
      <c r="G115" s="30"/>
      <c r="H115" s="11"/>
      <c r="I115" s="30"/>
      <c r="J115" s="30"/>
      <c r="K115" s="30"/>
      <c r="L115" s="30"/>
      <c r="M115" s="47"/>
    </row>
    <row x14ac:dyDescent="0.25" r="116" customHeight="1" ht="18.75">
      <c r="A116" s="1"/>
      <c r="B116" s="1"/>
      <c r="C116" s="1"/>
      <c r="D116" s="2"/>
      <c r="E116" s="2"/>
      <c r="F116" s="30"/>
      <c r="G116" s="30"/>
      <c r="H116" s="11"/>
      <c r="I116" s="30"/>
      <c r="J116" s="30"/>
      <c r="K116" s="30"/>
      <c r="L116" s="30"/>
      <c r="M116" s="47"/>
    </row>
    <row x14ac:dyDescent="0.25" r="117" customHeight="1" ht="18.75">
      <c r="A117" s="1"/>
      <c r="B117" s="1"/>
      <c r="C117" s="1"/>
      <c r="D117" s="2"/>
      <c r="E117" s="2"/>
      <c r="F117" s="30"/>
      <c r="G117" s="30"/>
      <c r="H117" s="11"/>
      <c r="I117" s="30"/>
      <c r="J117" s="30"/>
      <c r="K117" s="30"/>
      <c r="L117" s="30"/>
      <c r="M117" s="47"/>
    </row>
    <row x14ac:dyDescent="0.25" r="118" customHeight="1" ht="18.75">
      <c r="A118" s="1"/>
      <c r="B118" s="1"/>
      <c r="C118" s="1"/>
      <c r="D118" s="2"/>
      <c r="E118" s="2"/>
      <c r="F118" s="30"/>
      <c r="G118" s="30"/>
      <c r="H118" s="11"/>
      <c r="I118" s="30"/>
      <c r="J118" s="30"/>
      <c r="K118" s="30"/>
      <c r="L118" s="30"/>
      <c r="M118" s="47"/>
    </row>
    <row x14ac:dyDescent="0.25" r="119" customHeight="1" ht="18.75">
      <c r="A119" s="1"/>
      <c r="B119" s="1"/>
      <c r="C119" s="1"/>
      <c r="D119" s="2"/>
      <c r="E119" s="2"/>
      <c r="F119" s="30"/>
      <c r="G119" s="30"/>
      <c r="H119" s="11"/>
      <c r="I119" s="30"/>
      <c r="J119" s="30"/>
      <c r="K119" s="30"/>
      <c r="L119" s="30"/>
      <c r="M119" s="47"/>
    </row>
    <row x14ac:dyDescent="0.25" r="120" customHeight="1" ht="18.75">
      <c r="A120" s="1"/>
      <c r="B120" s="1"/>
      <c r="C120" s="1"/>
      <c r="D120" s="2"/>
      <c r="E120" s="2"/>
      <c r="F120" s="30"/>
      <c r="G120" s="30"/>
      <c r="H120" s="11"/>
      <c r="I120" s="30"/>
      <c r="J120" s="30"/>
      <c r="K120" s="30"/>
      <c r="L120" s="30"/>
      <c r="M120" s="47"/>
    </row>
    <row x14ac:dyDescent="0.25" r="121" customHeight="1" ht="18.75">
      <c r="A121" s="1"/>
      <c r="B121" s="1"/>
      <c r="C121" s="1"/>
      <c r="D121" s="2"/>
      <c r="E121" s="2"/>
      <c r="F121" s="30"/>
      <c r="G121" s="30"/>
      <c r="H121" s="11"/>
      <c r="I121" s="30"/>
      <c r="J121" s="30"/>
      <c r="K121" s="30"/>
      <c r="L121" s="30"/>
      <c r="M121" s="47"/>
    </row>
    <row x14ac:dyDescent="0.25" r="122" customHeight="1" ht="18.75">
      <c r="A122" s="1"/>
      <c r="B122" s="1"/>
      <c r="C122" s="1"/>
      <c r="D122" s="2"/>
      <c r="E122" s="2"/>
      <c r="F122" s="30"/>
      <c r="G122" s="30"/>
      <c r="H122" s="11"/>
      <c r="I122" s="30"/>
      <c r="J122" s="30"/>
      <c r="K122" s="30"/>
      <c r="L122" s="30"/>
      <c r="M122" s="47"/>
    </row>
    <row x14ac:dyDescent="0.25" r="123" customHeight="1" ht="18.75">
      <c r="A123" s="1"/>
      <c r="B123" s="1"/>
      <c r="C123" s="1"/>
      <c r="D123" s="2"/>
      <c r="E123" s="2"/>
      <c r="F123" s="30"/>
      <c r="G123" s="30"/>
      <c r="H123" s="11"/>
      <c r="I123" s="30"/>
      <c r="J123" s="30"/>
      <c r="K123" s="30"/>
      <c r="L123" s="30"/>
      <c r="M123" s="47"/>
    </row>
    <row x14ac:dyDescent="0.25" r="124" customHeight="1" ht="18.75">
      <c r="A124" s="1"/>
      <c r="B124" s="1"/>
      <c r="C124" s="1"/>
      <c r="D124" s="2"/>
      <c r="E124" s="2"/>
      <c r="F124" s="30"/>
      <c r="G124" s="30"/>
      <c r="H124" s="11"/>
      <c r="I124" s="30"/>
      <c r="J124" s="30"/>
      <c r="K124" s="30"/>
      <c r="L124" s="30"/>
      <c r="M124" s="47"/>
    </row>
    <row x14ac:dyDescent="0.25" r="125" customHeight="1" ht="18.75">
      <c r="A125" s="1"/>
      <c r="B125" s="1"/>
      <c r="C125" s="1"/>
      <c r="D125" s="2"/>
      <c r="E125" s="2"/>
      <c r="F125" s="30"/>
      <c r="G125" s="30"/>
      <c r="H125" s="11"/>
      <c r="I125" s="30"/>
      <c r="J125" s="30"/>
      <c r="K125" s="30"/>
      <c r="L125" s="30"/>
      <c r="M125" s="47"/>
    </row>
    <row x14ac:dyDescent="0.25" r="126" customHeight="1" ht="18.75">
      <c r="A126" s="1"/>
      <c r="B126" s="1"/>
      <c r="C126" s="1"/>
      <c r="D126" s="2"/>
      <c r="E126" s="2"/>
      <c r="F126" s="30"/>
      <c r="G126" s="30"/>
      <c r="H126" s="11"/>
      <c r="I126" s="30"/>
      <c r="J126" s="30"/>
      <c r="K126" s="30"/>
      <c r="L126" s="30"/>
      <c r="M126" s="47"/>
    </row>
    <row x14ac:dyDescent="0.25" r="127" customHeight="1" ht="18.75">
      <c r="A127" s="1"/>
      <c r="B127" s="1"/>
      <c r="C127" s="1"/>
      <c r="D127" s="2"/>
      <c r="E127" s="2"/>
      <c r="F127" s="30"/>
      <c r="G127" s="30"/>
      <c r="H127" s="11"/>
      <c r="I127" s="30"/>
      <c r="J127" s="30"/>
      <c r="K127" s="30"/>
      <c r="L127" s="30"/>
      <c r="M127" s="47"/>
    </row>
    <row x14ac:dyDescent="0.25" r="128" customHeight="1" ht="18.75">
      <c r="A128" s="1"/>
      <c r="B128" s="1"/>
      <c r="C128" s="1"/>
      <c r="D128" s="2"/>
      <c r="E128" s="2"/>
      <c r="F128" s="30"/>
      <c r="G128" s="30"/>
      <c r="H128" s="11"/>
      <c r="I128" s="30"/>
      <c r="J128" s="30"/>
      <c r="K128" s="30"/>
      <c r="L128" s="30"/>
      <c r="M128" s="47"/>
    </row>
    <row x14ac:dyDescent="0.25" r="129" customHeight="1" ht="18.75">
      <c r="A129" s="1"/>
      <c r="B129" s="1"/>
      <c r="C129" s="1"/>
      <c r="D129" s="2"/>
      <c r="E129" s="2"/>
      <c r="F129" s="30"/>
      <c r="G129" s="30"/>
      <c r="H129" s="11"/>
      <c r="I129" s="30"/>
      <c r="J129" s="30"/>
      <c r="K129" s="30"/>
      <c r="L129" s="30"/>
      <c r="M129" s="47"/>
    </row>
    <row x14ac:dyDescent="0.25" r="130" customHeight="1" ht="18.75">
      <c r="A130" s="1"/>
      <c r="B130" s="1"/>
      <c r="C130" s="1"/>
      <c r="D130" s="2"/>
      <c r="E130" s="2"/>
      <c r="F130" s="30"/>
      <c r="G130" s="30"/>
      <c r="H130" s="11"/>
      <c r="I130" s="30"/>
      <c r="J130" s="30"/>
      <c r="K130" s="30"/>
      <c r="L130" s="30"/>
      <c r="M130" s="47"/>
    </row>
    <row x14ac:dyDescent="0.25" r="131" customHeight="1" ht="18.75">
      <c r="A131" s="1"/>
      <c r="B131" s="1"/>
      <c r="C131" s="1"/>
      <c r="D131" s="2"/>
      <c r="E131" s="2"/>
      <c r="F131" s="30"/>
      <c r="G131" s="30"/>
      <c r="H131" s="11"/>
      <c r="I131" s="30"/>
      <c r="J131" s="30"/>
      <c r="K131" s="30"/>
      <c r="L131" s="30"/>
      <c r="M131" s="47"/>
    </row>
    <row x14ac:dyDescent="0.25" r="132" customHeight="1" ht="18.75">
      <c r="A132" s="1"/>
      <c r="B132" s="1"/>
      <c r="C132" s="1"/>
      <c r="D132" s="2"/>
      <c r="E132" s="2"/>
      <c r="F132" s="30"/>
      <c r="G132" s="30"/>
      <c r="H132" s="11"/>
      <c r="I132" s="30"/>
      <c r="J132" s="30"/>
      <c r="K132" s="30"/>
      <c r="L132" s="30"/>
      <c r="M132" s="47"/>
    </row>
    <row x14ac:dyDescent="0.25" r="133" customHeight="1" ht="18.75">
      <c r="A133" s="1"/>
      <c r="B133" s="1"/>
      <c r="C133" s="1"/>
      <c r="D133" s="2"/>
      <c r="E133" s="2"/>
      <c r="F133" s="30"/>
      <c r="G133" s="30"/>
      <c r="H133" s="11"/>
      <c r="I133" s="30"/>
      <c r="J133" s="30"/>
      <c r="K133" s="30"/>
      <c r="L133" s="30"/>
      <c r="M133" s="47"/>
    </row>
    <row x14ac:dyDescent="0.25" r="134" customHeight="1" ht="18.75">
      <c r="A134" s="1"/>
      <c r="B134" s="1"/>
      <c r="C134" s="1"/>
      <c r="D134" s="2"/>
      <c r="E134" s="2"/>
      <c r="F134" s="30"/>
      <c r="G134" s="30"/>
      <c r="H134" s="11"/>
      <c r="I134" s="30"/>
      <c r="J134" s="30"/>
      <c r="K134" s="30"/>
      <c r="L134" s="30"/>
      <c r="M134" s="47"/>
    </row>
    <row x14ac:dyDescent="0.25" r="135" customHeight="1" ht="18.75">
      <c r="A135" s="1"/>
      <c r="B135" s="1"/>
      <c r="C135" s="1"/>
      <c r="D135" s="2"/>
      <c r="E135" s="2"/>
      <c r="F135" s="30"/>
      <c r="G135" s="30"/>
      <c r="H135" s="11"/>
      <c r="I135" s="30"/>
      <c r="J135" s="30"/>
      <c r="K135" s="30"/>
      <c r="L135" s="30"/>
      <c r="M135" s="47"/>
    </row>
    <row x14ac:dyDescent="0.25" r="136" customHeight="1" ht="18.75">
      <c r="A136" s="1"/>
      <c r="B136" s="1"/>
      <c r="C136" s="1"/>
      <c r="D136" s="2"/>
      <c r="E136" s="2"/>
      <c r="F136" s="30"/>
      <c r="G136" s="30"/>
      <c r="H136" s="11"/>
      <c r="I136" s="30"/>
      <c r="J136" s="30"/>
      <c r="K136" s="30"/>
      <c r="L136" s="30"/>
      <c r="M136" s="47"/>
    </row>
    <row x14ac:dyDescent="0.25" r="137" customHeight="1" ht="18.75">
      <c r="A137" s="1"/>
      <c r="B137" s="1"/>
      <c r="C137" s="1"/>
      <c r="D137" s="2"/>
      <c r="E137" s="2"/>
      <c r="F137" s="30"/>
      <c r="G137" s="30"/>
      <c r="H137" s="11"/>
      <c r="I137" s="30"/>
      <c r="J137" s="30"/>
      <c r="K137" s="30"/>
      <c r="L137" s="30"/>
      <c r="M137" s="47"/>
    </row>
    <row x14ac:dyDescent="0.25" r="138" customHeight="1" ht="18.75">
      <c r="A138" s="1"/>
      <c r="B138" s="1"/>
      <c r="C138" s="1"/>
      <c r="D138" s="2"/>
      <c r="E138" s="2"/>
      <c r="F138" s="30"/>
      <c r="G138" s="30"/>
      <c r="H138" s="11"/>
      <c r="I138" s="30"/>
      <c r="J138" s="30"/>
      <c r="K138" s="30"/>
      <c r="L138" s="30"/>
      <c r="M138" s="47"/>
    </row>
    <row x14ac:dyDescent="0.25" r="139" customHeight="1" ht="18.75">
      <c r="A139" s="1"/>
      <c r="B139" s="1"/>
      <c r="C139" s="1"/>
      <c r="D139" s="2"/>
      <c r="E139" s="2"/>
      <c r="F139" s="30"/>
      <c r="G139" s="30"/>
      <c r="H139" s="11"/>
      <c r="I139" s="30"/>
      <c r="J139" s="30"/>
      <c r="K139" s="30"/>
      <c r="L139" s="30"/>
      <c r="M139" s="47"/>
    </row>
    <row x14ac:dyDescent="0.25" r="140" customHeight="1" ht="18.75">
      <c r="A140" s="1"/>
      <c r="B140" s="1"/>
      <c r="C140" s="1"/>
      <c r="D140" s="2"/>
      <c r="E140" s="2"/>
      <c r="F140" s="30"/>
      <c r="G140" s="30"/>
      <c r="H140" s="11"/>
      <c r="I140" s="30"/>
      <c r="J140" s="30"/>
      <c r="K140" s="30"/>
      <c r="L140" s="30"/>
      <c r="M140" s="47"/>
    </row>
    <row x14ac:dyDescent="0.25" r="141" customHeight="1" ht="18.75">
      <c r="A141" s="1"/>
      <c r="B141" s="1"/>
      <c r="C141" s="1"/>
      <c r="D141" s="2"/>
      <c r="E141" s="2"/>
      <c r="F141" s="30"/>
      <c r="G141" s="30"/>
      <c r="H141" s="11"/>
      <c r="I141" s="30"/>
      <c r="J141" s="30"/>
      <c r="K141" s="30"/>
      <c r="L141" s="30"/>
      <c r="M141" s="47"/>
    </row>
    <row x14ac:dyDescent="0.25" r="142" customHeight="1" ht="18.75">
      <c r="A142" s="1"/>
      <c r="B142" s="1"/>
      <c r="C142" s="1"/>
      <c r="D142" s="2"/>
      <c r="E142" s="2"/>
      <c r="F142" s="30"/>
      <c r="G142" s="30"/>
      <c r="H142" s="11"/>
      <c r="I142" s="30"/>
      <c r="J142" s="30"/>
      <c r="K142" s="30"/>
      <c r="L142" s="30"/>
      <c r="M142" s="47"/>
    </row>
    <row x14ac:dyDescent="0.25" r="143" customHeight="1" ht="18.75">
      <c r="A143" s="1"/>
      <c r="B143" s="1"/>
      <c r="C143" s="1"/>
      <c r="D143" s="2"/>
      <c r="E143" s="2"/>
      <c r="F143" s="30"/>
      <c r="G143" s="30"/>
      <c r="H143" s="11"/>
      <c r="I143" s="30"/>
      <c r="J143" s="30"/>
      <c r="K143" s="30"/>
      <c r="L143" s="30"/>
      <c r="M143" s="47"/>
    </row>
    <row x14ac:dyDescent="0.25" r="144" customHeight="1" ht="18.75">
      <c r="A144" s="1"/>
      <c r="B144" s="1"/>
      <c r="C144" s="1"/>
      <c r="D144" s="2"/>
      <c r="E144" s="2"/>
      <c r="F144" s="30"/>
      <c r="G144" s="30"/>
      <c r="H144" s="11"/>
      <c r="I144" s="30"/>
      <c r="J144" s="30"/>
      <c r="K144" s="30"/>
      <c r="L144" s="30"/>
      <c r="M144" s="47"/>
    </row>
    <row x14ac:dyDescent="0.25" r="145" customHeight="1" ht="18.75">
      <c r="A145" s="1"/>
      <c r="B145" s="1"/>
      <c r="C145" s="1"/>
      <c r="D145" s="2"/>
      <c r="E145" s="2"/>
      <c r="F145" s="30"/>
      <c r="G145" s="30"/>
      <c r="H145" s="11"/>
      <c r="I145" s="30"/>
      <c r="J145" s="30"/>
      <c r="K145" s="30"/>
      <c r="L145" s="30"/>
      <c r="M145" s="47"/>
    </row>
    <row x14ac:dyDescent="0.25" r="146" customHeight="1" ht="18.75">
      <c r="A146" s="1"/>
      <c r="B146" s="1"/>
      <c r="C146" s="1"/>
      <c r="D146" s="2"/>
      <c r="E146" s="2"/>
      <c r="F146" s="30"/>
      <c r="G146" s="30"/>
      <c r="H146" s="11"/>
      <c r="I146" s="30"/>
      <c r="J146" s="30"/>
      <c r="K146" s="30"/>
      <c r="L146" s="30"/>
      <c r="M146" s="47"/>
    </row>
    <row x14ac:dyDescent="0.25" r="147" customHeight="1" ht="18.75">
      <c r="A147" s="1"/>
      <c r="B147" s="1"/>
      <c r="C147" s="1"/>
      <c r="D147" s="2"/>
      <c r="E147" s="2"/>
      <c r="F147" s="30"/>
      <c r="G147" s="30"/>
      <c r="H147" s="11"/>
      <c r="I147" s="30"/>
      <c r="J147" s="30"/>
      <c r="K147" s="30"/>
      <c r="L147" s="30"/>
      <c r="M147" s="47"/>
    </row>
    <row x14ac:dyDescent="0.25" r="148" customHeight="1" ht="18.75">
      <c r="A148" s="1"/>
      <c r="B148" s="1"/>
      <c r="C148" s="1"/>
      <c r="D148" s="2"/>
      <c r="E148" s="2"/>
      <c r="F148" s="30"/>
      <c r="G148" s="30"/>
      <c r="H148" s="11"/>
      <c r="I148" s="30"/>
      <c r="J148" s="30"/>
      <c r="K148" s="30"/>
      <c r="L148" s="30"/>
      <c r="M148" s="47"/>
    </row>
    <row x14ac:dyDescent="0.25" r="149" customHeight="1" ht="18.75">
      <c r="A149" s="1"/>
      <c r="B149" s="1"/>
      <c r="C149" s="1"/>
      <c r="D149" s="2"/>
      <c r="E149" s="2"/>
      <c r="F149" s="30"/>
      <c r="G149" s="30"/>
      <c r="H149" s="11"/>
      <c r="I149" s="30"/>
      <c r="J149" s="30"/>
      <c r="K149" s="30"/>
      <c r="L149" s="30"/>
      <c r="M149" s="47"/>
    </row>
    <row x14ac:dyDescent="0.25" r="150" customHeight="1" ht="18.75">
      <c r="A150" s="1"/>
      <c r="B150" s="1"/>
      <c r="C150" s="1"/>
      <c r="D150" s="2"/>
      <c r="E150" s="2"/>
      <c r="F150" s="30"/>
      <c r="G150" s="30"/>
      <c r="H150" s="11"/>
      <c r="I150" s="30"/>
      <c r="J150" s="30"/>
      <c r="K150" s="30"/>
      <c r="L150" s="30"/>
      <c r="M150" s="47"/>
    </row>
    <row x14ac:dyDescent="0.25" r="151" customHeight="1" ht="18.75">
      <c r="A151" s="1"/>
      <c r="B151" s="1"/>
      <c r="C151" s="1"/>
      <c r="D151" s="2"/>
      <c r="E151" s="2"/>
      <c r="F151" s="30"/>
      <c r="G151" s="30"/>
      <c r="H151" s="11"/>
      <c r="I151" s="30"/>
      <c r="J151" s="30"/>
      <c r="K151" s="30"/>
      <c r="L151" s="30"/>
      <c r="M151" s="47"/>
    </row>
    <row x14ac:dyDescent="0.25" r="152" customHeight="1" ht="18.75">
      <c r="A152" s="1"/>
      <c r="B152" s="1"/>
      <c r="C152" s="1"/>
      <c r="D152" s="2"/>
      <c r="E152" s="2"/>
      <c r="F152" s="30"/>
      <c r="G152" s="30"/>
      <c r="H152" s="11"/>
      <c r="I152" s="30"/>
      <c r="J152" s="30"/>
      <c r="K152" s="30"/>
      <c r="L152" s="30"/>
      <c r="M152" s="47"/>
    </row>
    <row x14ac:dyDescent="0.25" r="153" customHeight="1" ht="18.75">
      <c r="A153" s="1"/>
      <c r="B153" s="1"/>
      <c r="C153" s="1"/>
      <c r="D153" s="2"/>
      <c r="E153" s="2"/>
      <c r="F153" s="30"/>
      <c r="G153" s="30"/>
      <c r="H153" s="11"/>
      <c r="I153" s="30"/>
      <c r="J153" s="30"/>
      <c r="K153" s="30"/>
      <c r="L153" s="30"/>
      <c r="M153" s="47"/>
    </row>
    <row x14ac:dyDescent="0.25" r="154" customHeight="1" ht="18.75">
      <c r="A154" s="1"/>
      <c r="B154" s="1"/>
      <c r="C154" s="1"/>
      <c r="D154" s="2"/>
      <c r="E154" s="2"/>
      <c r="F154" s="30"/>
      <c r="G154" s="30"/>
      <c r="H154" s="11"/>
      <c r="I154" s="30"/>
      <c r="J154" s="30"/>
      <c r="K154" s="30"/>
      <c r="L154" s="30"/>
      <c r="M154" s="47"/>
    </row>
    <row x14ac:dyDescent="0.25" r="155" customHeight="1" ht="18.75">
      <c r="A155" s="1"/>
      <c r="B155" s="1"/>
      <c r="C155" s="1"/>
      <c r="D155" s="2"/>
      <c r="E155" s="2"/>
      <c r="F155" s="30"/>
      <c r="G155" s="30"/>
      <c r="H155" s="11"/>
      <c r="I155" s="30"/>
      <c r="J155" s="30"/>
      <c r="K155" s="30"/>
      <c r="L155" s="30"/>
      <c r="M155" s="47"/>
    </row>
    <row x14ac:dyDescent="0.25" r="156" customHeight="1" ht="18.75">
      <c r="A156" s="1"/>
      <c r="B156" s="1"/>
      <c r="C156" s="1"/>
      <c r="D156" s="2"/>
      <c r="E156" s="2"/>
      <c r="F156" s="30"/>
      <c r="G156" s="30"/>
      <c r="H156" s="11"/>
      <c r="I156" s="30"/>
      <c r="J156" s="30"/>
      <c r="K156" s="30"/>
      <c r="L156" s="30"/>
      <c r="M156" s="47"/>
    </row>
    <row x14ac:dyDescent="0.25" r="157" customHeight="1" ht="18.75">
      <c r="A157" s="1"/>
      <c r="B157" s="1"/>
      <c r="C157" s="1"/>
      <c r="D157" s="2"/>
      <c r="E157" s="2"/>
      <c r="F157" s="30"/>
      <c r="G157" s="30"/>
      <c r="H157" s="11"/>
      <c r="I157" s="30"/>
      <c r="J157" s="30"/>
      <c r="K157" s="30"/>
      <c r="L157" s="30"/>
      <c r="M157" s="47"/>
    </row>
    <row x14ac:dyDescent="0.25" r="158" customHeight="1" ht="18.75">
      <c r="A158" s="1"/>
      <c r="B158" s="1"/>
      <c r="C158" s="1"/>
      <c r="D158" s="2"/>
      <c r="E158" s="2"/>
      <c r="F158" s="30"/>
      <c r="G158" s="30"/>
      <c r="H158" s="11"/>
      <c r="I158" s="30"/>
      <c r="J158" s="30"/>
      <c r="K158" s="30"/>
      <c r="L158" s="30"/>
      <c r="M158" s="47"/>
    </row>
    <row x14ac:dyDescent="0.25" r="159" customHeight="1" ht="18.75">
      <c r="A159" s="1"/>
      <c r="B159" s="1"/>
      <c r="C159" s="1"/>
      <c r="D159" s="2"/>
      <c r="E159" s="2"/>
      <c r="F159" s="30"/>
      <c r="G159" s="30"/>
      <c r="H159" s="11"/>
      <c r="I159" s="30"/>
      <c r="J159" s="30"/>
      <c r="K159" s="30"/>
      <c r="L159" s="30"/>
      <c r="M159" s="47"/>
    </row>
    <row x14ac:dyDescent="0.25" r="160" customHeight="1" ht="18.75">
      <c r="A160" s="1"/>
      <c r="B160" s="1"/>
      <c r="C160" s="1"/>
      <c r="D160" s="2"/>
      <c r="E160" s="2"/>
      <c r="F160" s="30"/>
      <c r="G160" s="30"/>
      <c r="H160" s="11"/>
      <c r="I160" s="30"/>
      <c r="J160" s="30"/>
      <c r="K160" s="30"/>
      <c r="L160" s="30"/>
      <c r="M160" s="47"/>
    </row>
    <row x14ac:dyDescent="0.25" r="161" customHeight="1" ht="18.75">
      <c r="A161" s="1"/>
      <c r="B161" s="1"/>
      <c r="C161" s="1"/>
      <c r="D161" s="2"/>
      <c r="E161" s="2"/>
      <c r="F161" s="30"/>
      <c r="G161" s="30"/>
      <c r="H161" s="11"/>
      <c r="I161" s="30"/>
      <c r="J161" s="30"/>
      <c r="K161" s="30"/>
      <c r="L161" s="30"/>
      <c r="M161" s="47"/>
    </row>
    <row x14ac:dyDescent="0.25" r="162" customHeight="1" ht="18.75">
      <c r="A162" s="1"/>
      <c r="B162" s="1"/>
      <c r="C162" s="1"/>
      <c r="D162" s="2"/>
      <c r="E162" s="2"/>
      <c r="F162" s="30"/>
      <c r="G162" s="30"/>
      <c r="H162" s="11"/>
      <c r="I162" s="30"/>
      <c r="J162" s="30"/>
      <c r="K162" s="30"/>
      <c r="L162" s="30"/>
      <c r="M162" s="47"/>
    </row>
    <row x14ac:dyDescent="0.25" r="163" customHeight="1" ht="18.75">
      <c r="A163" s="1"/>
      <c r="B163" s="1"/>
      <c r="C163" s="1"/>
      <c r="D163" s="2"/>
      <c r="E163" s="2"/>
      <c r="F163" s="30"/>
      <c r="G163" s="30"/>
      <c r="H163" s="11"/>
      <c r="I163" s="30"/>
      <c r="J163" s="30"/>
      <c r="K163" s="30"/>
      <c r="L163" s="30"/>
      <c r="M163" s="47"/>
    </row>
    <row x14ac:dyDescent="0.25" r="164" customHeight="1" ht="18.75">
      <c r="A164" s="1"/>
      <c r="B164" s="1"/>
      <c r="C164" s="1"/>
      <c r="D164" s="2"/>
      <c r="E164" s="2"/>
      <c r="F164" s="30"/>
      <c r="G164" s="30"/>
      <c r="H164" s="11"/>
      <c r="I164" s="30"/>
      <c r="J164" s="30"/>
      <c r="K164" s="30"/>
      <c r="L164" s="30"/>
      <c r="M164" s="47"/>
    </row>
    <row x14ac:dyDescent="0.25" r="165" customHeight="1" ht="18.75">
      <c r="A165" s="1"/>
      <c r="B165" s="1"/>
      <c r="C165" s="1"/>
      <c r="D165" s="2"/>
      <c r="E165" s="2"/>
      <c r="F165" s="30"/>
      <c r="G165" s="30"/>
      <c r="H165" s="11"/>
      <c r="I165" s="30"/>
      <c r="J165" s="30"/>
      <c r="K165" s="30"/>
      <c r="L165" s="30"/>
      <c r="M165" s="47"/>
    </row>
    <row x14ac:dyDescent="0.25" r="166" customHeight="1" ht="18.75">
      <c r="A166" s="1"/>
      <c r="B166" s="1"/>
      <c r="C166" s="1"/>
      <c r="D166" s="2"/>
      <c r="E166" s="2"/>
      <c r="F166" s="30"/>
      <c r="G166" s="30"/>
      <c r="H166" s="11"/>
      <c r="I166" s="30"/>
      <c r="J166" s="30"/>
      <c r="K166" s="30"/>
      <c r="L166" s="30"/>
      <c r="M166" s="47"/>
    </row>
    <row x14ac:dyDescent="0.25" r="167" customHeight="1" ht="18.75">
      <c r="A167" s="1"/>
      <c r="B167" s="1"/>
      <c r="C167" s="1"/>
      <c r="D167" s="2"/>
      <c r="E167" s="2"/>
      <c r="F167" s="30"/>
      <c r="G167" s="30"/>
      <c r="H167" s="11"/>
      <c r="I167" s="30"/>
      <c r="J167" s="30"/>
      <c r="K167" s="30"/>
      <c r="L167" s="30"/>
      <c r="M167" s="47"/>
    </row>
    <row x14ac:dyDescent="0.25" r="168" customHeight="1" ht="18.75">
      <c r="A168" s="1"/>
      <c r="B168" s="1"/>
      <c r="C168" s="1"/>
      <c r="D168" s="2"/>
      <c r="E168" s="2"/>
      <c r="F168" s="30"/>
      <c r="G168" s="30"/>
      <c r="H168" s="11"/>
      <c r="I168" s="30"/>
      <c r="J168" s="30"/>
      <c r="K168" s="30"/>
      <c r="L168" s="30"/>
      <c r="M168" s="47"/>
    </row>
    <row x14ac:dyDescent="0.25" r="169" customHeight="1" ht="18.75">
      <c r="A169" s="1"/>
      <c r="B169" s="1"/>
      <c r="C169" s="1"/>
      <c r="D169" s="2"/>
      <c r="E169" s="2"/>
      <c r="F169" s="30"/>
      <c r="G169" s="30"/>
      <c r="H169" s="11"/>
      <c r="I169" s="30"/>
      <c r="J169" s="30"/>
      <c r="K169" s="30"/>
      <c r="L169" s="30"/>
      <c r="M169" s="47"/>
    </row>
    <row x14ac:dyDescent="0.25" r="170" customHeight="1" ht="18.75">
      <c r="A170" s="1"/>
      <c r="B170" s="1"/>
      <c r="C170" s="1"/>
      <c r="D170" s="2"/>
      <c r="E170" s="2"/>
      <c r="F170" s="30"/>
      <c r="G170" s="30"/>
      <c r="H170" s="11"/>
      <c r="I170" s="30"/>
      <c r="J170" s="30"/>
      <c r="K170" s="30"/>
      <c r="L170" s="30"/>
      <c r="M170" s="47"/>
    </row>
    <row x14ac:dyDescent="0.25" r="171" customHeight="1" ht="18.75">
      <c r="A171" s="1"/>
      <c r="B171" s="1"/>
      <c r="C171" s="1"/>
      <c r="D171" s="2"/>
      <c r="E171" s="2"/>
      <c r="F171" s="30"/>
      <c r="G171" s="30"/>
      <c r="H171" s="11"/>
      <c r="I171" s="30"/>
      <c r="J171" s="30"/>
      <c r="K171" s="30"/>
      <c r="L171" s="30"/>
      <c r="M171" s="47"/>
    </row>
    <row x14ac:dyDescent="0.25" r="172" customHeight="1" ht="18.75">
      <c r="A172" s="1"/>
      <c r="B172" s="1"/>
      <c r="C172" s="1"/>
      <c r="D172" s="2"/>
      <c r="E172" s="2"/>
      <c r="F172" s="30"/>
      <c r="G172" s="30"/>
      <c r="H172" s="11"/>
      <c r="I172" s="30"/>
      <c r="J172" s="30"/>
      <c r="K172" s="30"/>
      <c r="L172" s="30"/>
      <c r="M172" s="47"/>
    </row>
    <row x14ac:dyDescent="0.25" r="173" customHeight="1" ht="18.75">
      <c r="A173" s="1"/>
      <c r="B173" s="1"/>
      <c r="C173" s="1"/>
      <c r="D173" s="2"/>
      <c r="E173" s="2"/>
      <c r="F173" s="30"/>
      <c r="G173" s="30"/>
      <c r="H173" s="11"/>
      <c r="I173" s="30"/>
      <c r="J173" s="30"/>
      <c r="K173" s="30"/>
      <c r="L173" s="30"/>
      <c r="M173" s="47"/>
    </row>
    <row x14ac:dyDescent="0.25" r="174" customHeight="1" ht="18.75">
      <c r="A174" s="1"/>
      <c r="B174" s="1"/>
      <c r="C174" s="1"/>
      <c r="D174" s="2"/>
      <c r="E174" s="2"/>
      <c r="F174" s="30"/>
      <c r="G174" s="30"/>
      <c r="H174" s="11"/>
      <c r="I174" s="30"/>
      <c r="J174" s="30"/>
      <c r="K174" s="30"/>
      <c r="L174" s="30"/>
      <c r="M174" s="47"/>
    </row>
    <row x14ac:dyDescent="0.25" r="175" customHeight="1" ht="18.75">
      <c r="A175" s="1"/>
      <c r="B175" s="1"/>
      <c r="C175" s="1"/>
      <c r="D175" s="2"/>
      <c r="E175" s="2"/>
      <c r="F175" s="30"/>
      <c r="G175" s="30"/>
      <c r="H175" s="11"/>
      <c r="I175" s="30"/>
      <c r="J175" s="30"/>
      <c r="K175" s="30"/>
      <c r="L175" s="30"/>
      <c r="M175" s="47"/>
    </row>
    <row x14ac:dyDescent="0.25" r="176" customHeight="1" ht="18.75">
      <c r="A176" s="1"/>
      <c r="B176" s="1"/>
      <c r="C176" s="1"/>
      <c r="D176" s="2"/>
      <c r="E176" s="2"/>
      <c r="F176" s="30"/>
      <c r="G176" s="30"/>
      <c r="H176" s="11"/>
      <c r="I176" s="30"/>
      <c r="J176" s="30"/>
      <c r="K176" s="30"/>
      <c r="L176" s="30"/>
      <c r="M176" s="47"/>
    </row>
    <row x14ac:dyDescent="0.25" r="177" customHeight="1" ht="18.75">
      <c r="A177" s="1"/>
      <c r="B177" s="1"/>
      <c r="C177" s="1"/>
      <c r="D177" s="2"/>
      <c r="E177" s="2"/>
      <c r="F177" s="30"/>
      <c r="G177" s="30"/>
      <c r="H177" s="11"/>
      <c r="I177" s="30"/>
      <c r="J177" s="30"/>
      <c r="K177" s="30"/>
      <c r="L177" s="30"/>
      <c r="M177" s="47"/>
    </row>
    <row x14ac:dyDescent="0.25" r="178" customHeight="1" ht="18.75">
      <c r="A178" s="1"/>
      <c r="B178" s="1"/>
      <c r="C178" s="1"/>
      <c r="D178" s="2"/>
      <c r="E178" s="2"/>
      <c r="F178" s="30"/>
      <c r="G178" s="30"/>
      <c r="H178" s="11"/>
      <c r="I178" s="30"/>
      <c r="J178" s="30"/>
      <c r="K178" s="30"/>
      <c r="L178" s="30"/>
      <c r="M178" s="47"/>
    </row>
    <row x14ac:dyDescent="0.25" r="179" customHeight="1" ht="18.75">
      <c r="A179" s="1"/>
      <c r="B179" s="1"/>
      <c r="C179" s="1"/>
      <c r="D179" s="2"/>
      <c r="E179" s="2"/>
      <c r="F179" s="30"/>
      <c r="G179" s="30"/>
      <c r="H179" s="11"/>
      <c r="I179" s="30"/>
      <c r="J179" s="30"/>
      <c r="K179" s="30"/>
      <c r="L179" s="30"/>
      <c r="M179" s="47"/>
    </row>
    <row x14ac:dyDescent="0.25" r="180" customHeight="1" ht="18.75">
      <c r="A180" s="1"/>
      <c r="B180" s="1"/>
      <c r="C180" s="1"/>
      <c r="D180" s="2"/>
      <c r="E180" s="2"/>
      <c r="F180" s="30"/>
      <c r="G180" s="30"/>
      <c r="H180" s="11"/>
      <c r="I180" s="30"/>
      <c r="J180" s="30"/>
      <c r="K180" s="30"/>
      <c r="L180" s="30"/>
      <c r="M180" s="47"/>
    </row>
    <row x14ac:dyDescent="0.25" r="181" customHeight="1" ht="18.75">
      <c r="A181" s="1"/>
      <c r="B181" s="1"/>
      <c r="C181" s="1"/>
      <c r="D181" s="2"/>
      <c r="E181" s="2"/>
      <c r="F181" s="30"/>
      <c r="G181" s="30"/>
      <c r="H181" s="11"/>
      <c r="I181" s="30"/>
      <c r="J181" s="30"/>
      <c r="K181" s="30"/>
      <c r="L181" s="30"/>
      <c r="M181" s="47"/>
    </row>
    <row x14ac:dyDescent="0.25" r="182" customHeight="1" ht="18.75">
      <c r="A182" s="1"/>
      <c r="B182" s="1"/>
      <c r="C182" s="1"/>
      <c r="D182" s="2"/>
      <c r="E182" s="2"/>
      <c r="F182" s="30"/>
      <c r="G182" s="30"/>
      <c r="H182" s="11"/>
      <c r="I182" s="30"/>
      <c r="J182" s="30"/>
      <c r="K182" s="30"/>
      <c r="L182" s="30"/>
      <c r="M182" s="47"/>
    </row>
    <row x14ac:dyDescent="0.25" r="183" customHeight="1" ht="18.75">
      <c r="A183" s="1"/>
      <c r="B183" s="1"/>
      <c r="C183" s="1"/>
      <c r="D183" s="2"/>
      <c r="E183" s="2"/>
      <c r="F183" s="30"/>
      <c r="G183" s="30"/>
      <c r="H183" s="11"/>
      <c r="I183" s="30"/>
      <c r="J183" s="30"/>
      <c r="K183" s="30"/>
      <c r="L183" s="30"/>
      <c r="M183" s="47"/>
    </row>
    <row x14ac:dyDescent="0.25" r="184" customHeight="1" ht="18.75">
      <c r="A184" s="1"/>
      <c r="B184" s="1"/>
      <c r="C184" s="1"/>
      <c r="D184" s="2"/>
      <c r="E184" s="2"/>
      <c r="F184" s="30"/>
      <c r="G184" s="30"/>
      <c r="H184" s="11"/>
      <c r="I184" s="30"/>
      <c r="J184" s="30"/>
      <c r="K184" s="30"/>
      <c r="L184" s="30"/>
      <c r="M184" s="47"/>
    </row>
    <row x14ac:dyDescent="0.25" r="185" customHeight="1" ht="18.75">
      <c r="A185" s="1"/>
      <c r="B185" s="1"/>
      <c r="C185" s="1"/>
      <c r="D185" s="2"/>
      <c r="E185" s="2"/>
      <c r="F185" s="30"/>
      <c r="G185" s="30"/>
      <c r="H185" s="11"/>
      <c r="I185" s="30"/>
      <c r="J185" s="30"/>
      <c r="K185" s="30"/>
      <c r="L185" s="30"/>
      <c r="M185" s="47"/>
    </row>
    <row x14ac:dyDescent="0.25" r="186" customHeight="1" ht="18.75">
      <c r="A186" s="1"/>
      <c r="B186" s="1"/>
      <c r="C186" s="1"/>
      <c r="D186" s="2"/>
      <c r="E186" s="2"/>
      <c r="F186" s="30"/>
      <c r="G186" s="30"/>
      <c r="H186" s="11"/>
      <c r="I186" s="30"/>
      <c r="J186" s="30"/>
      <c r="K186" s="30"/>
      <c r="L186" s="30"/>
      <c r="M186" s="47"/>
    </row>
    <row x14ac:dyDescent="0.25" r="187" customHeight="1" ht="18.75">
      <c r="A187" s="1"/>
      <c r="B187" s="1"/>
      <c r="C187" s="1"/>
      <c r="D187" s="2"/>
      <c r="E187" s="2"/>
      <c r="F187" s="30"/>
      <c r="G187" s="30"/>
      <c r="H187" s="11"/>
      <c r="I187" s="30"/>
      <c r="J187" s="30"/>
      <c r="K187" s="30"/>
      <c r="L187" s="30"/>
      <c r="M187" s="47"/>
    </row>
    <row x14ac:dyDescent="0.25" r="188" customHeight="1" ht="18.75">
      <c r="A188" s="1"/>
      <c r="B188" s="1"/>
      <c r="C188" s="1"/>
      <c r="D188" s="2"/>
      <c r="E188" s="2"/>
      <c r="F188" s="30"/>
      <c r="G188" s="30"/>
      <c r="H188" s="11"/>
      <c r="I188" s="30"/>
      <c r="J188" s="30"/>
      <c r="K188" s="30"/>
      <c r="L188" s="30"/>
      <c r="M188" s="47"/>
    </row>
    <row x14ac:dyDescent="0.25" r="189" customHeight="1" ht="18.75">
      <c r="A189" s="1"/>
      <c r="B189" s="1"/>
      <c r="C189" s="1"/>
      <c r="D189" s="2"/>
      <c r="E189" s="2"/>
      <c r="F189" s="30"/>
      <c r="G189" s="30"/>
      <c r="H189" s="11"/>
      <c r="I189" s="30"/>
      <c r="J189" s="30"/>
      <c r="K189" s="30"/>
      <c r="L189" s="30"/>
      <c r="M189" s="47"/>
    </row>
    <row x14ac:dyDescent="0.25" r="190" customHeight="1" ht="18.75">
      <c r="A190" s="1"/>
      <c r="B190" s="1"/>
      <c r="C190" s="1"/>
      <c r="D190" s="2"/>
      <c r="E190" s="2"/>
      <c r="F190" s="30"/>
      <c r="G190" s="30"/>
      <c r="H190" s="11"/>
      <c r="I190" s="30"/>
      <c r="J190" s="30"/>
      <c r="K190" s="30"/>
      <c r="L190" s="30"/>
      <c r="M190" s="47"/>
    </row>
    <row x14ac:dyDescent="0.25" r="191" customHeight="1" ht="18.75">
      <c r="A191" s="1"/>
      <c r="B191" s="1"/>
      <c r="C191" s="1"/>
      <c r="D191" s="2"/>
      <c r="E191" s="2"/>
      <c r="F191" s="30"/>
      <c r="G191" s="30"/>
      <c r="H191" s="11"/>
      <c r="I191" s="30"/>
      <c r="J191" s="30"/>
      <c r="K191" s="30"/>
      <c r="L191" s="30"/>
      <c r="M191" s="47"/>
    </row>
    <row x14ac:dyDescent="0.25" r="192" customHeight="1" ht="18.75">
      <c r="A192" s="1"/>
      <c r="B192" s="1"/>
      <c r="C192" s="1"/>
      <c r="D192" s="2"/>
      <c r="E192" s="2"/>
      <c r="F192" s="30"/>
      <c r="G192" s="30"/>
      <c r="H192" s="11"/>
      <c r="I192" s="30"/>
      <c r="J192" s="30"/>
      <c r="K192" s="30"/>
      <c r="L192" s="30"/>
      <c r="M192" s="47"/>
    </row>
    <row x14ac:dyDescent="0.25" r="193" customHeight="1" ht="18.75">
      <c r="A193" s="1"/>
      <c r="B193" s="1"/>
      <c r="C193" s="1"/>
      <c r="D193" s="2"/>
      <c r="E193" s="2"/>
      <c r="F193" s="30"/>
      <c r="G193" s="30"/>
      <c r="H193" s="11"/>
      <c r="I193" s="30"/>
      <c r="J193" s="30"/>
      <c r="K193" s="30"/>
      <c r="L193" s="30"/>
      <c r="M193" s="47"/>
    </row>
    <row x14ac:dyDescent="0.25" r="194" customHeight="1" ht="18.75">
      <c r="A194" s="1"/>
      <c r="B194" s="1"/>
      <c r="C194" s="1"/>
      <c r="D194" s="2"/>
      <c r="E194" s="2"/>
      <c r="F194" s="30"/>
      <c r="G194" s="30"/>
      <c r="H194" s="11"/>
      <c r="I194" s="30"/>
      <c r="J194" s="30"/>
      <c r="K194" s="30"/>
      <c r="L194" s="30"/>
      <c r="M194" s="47"/>
    </row>
    <row x14ac:dyDescent="0.25" r="195" customHeight="1" ht="18.75">
      <c r="A195" s="1"/>
      <c r="B195" s="1"/>
      <c r="C195" s="1"/>
      <c r="D195" s="2"/>
      <c r="E195" s="2"/>
      <c r="F195" s="30"/>
      <c r="G195" s="30"/>
      <c r="H195" s="11"/>
      <c r="I195" s="30"/>
      <c r="J195" s="30"/>
      <c r="K195" s="30"/>
      <c r="L195" s="30"/>
      <c r="M195" s="47"/>
    </row>
    <row x14ac:dyDescent="0.25" r="196" customHeight="1" ht="18.75">
      <c r="A196" s="1"/>
      <c r="B196" s="1"/>
      <c r="C196" s="1"/>
      <c r="D196" s="2"/>
      <c r="E196" s="2"/>
      <c r="F196" s="30"/>
      <c r="G196" s="30"/>
      <c r="H196" s="11"/>
      <c r="I196" s="30"/>
      <c r="J196" s="30"/>
      <c r="K196" s="30"/>
      <c r="L196" s="30"/>
      <c r="M196" s="47"/>
    </row>
    <row x14ac:dyDescent="0.25" r="197" customHeight="1" ht="18.75">
      <c r="A197" s="1"/>
      <c r="B197" s="1"/>
      <c r="C197" s="1"/>
      <c r="D197" s="2"/>
      <c r="E197" s="2"/>
      <c r="F197" s="30"/>
      <c r="G197" s="30"/>
      <c r="H197" s="11"/>
      <c r="I197" s="30"/>
      <c r="J197" s="30"/>
      <c r="K197" s="30"/>
      <c r="L197" s="30"/>
      <c r="M197" s="47"/>
    </row>
    <row x14ac:dyDescent="0.25" r="198" customHeight="1" ht="18.75">
      <c r="A198" s="1"/>
      <c r="B198" s="1"/>
      <c r="C198" s="1"/>
      <c r="D198" s="2"/>
      <c r="E198" s="2"/>
      <c r="F198" s="30"/>
      <c r="G198" s="30"/>
      <c r="H198" s="11"/>
      <c r="I198" s="30"/>
      <c r="J198" s="30"/>
      <c r="K198" s="30"/>
      <c r="L198" s="30"/>
      <c r="M198" s="47"/>
    </row>
    <row x14ac:dyDescent="0.25" r="199" customHeight="1" ht="18.75">
      <c r="A199" s="1"/>
      <c r="B199" s="1"/>
      <c r="C199" s="1"/>
      <c r="D199" s="2"/>
      <c r="E199" s="2"/>
      <c r="F199" s="30"/>
      <c r="G199" s="30"/>
      <c r="H199" s="11"/>
      <c r="I199" s="30"/>
      <c r="J199" s="30"/>
      <c r="K199" s="30"/>
      <c r="L199" s="30"/>
      <c r="M199" s="47"/>
    </row>
    <row x14ac:dyDescent="0.25" r="200" customHeight="1" ht="18.75">
      <c r="A200" s="1"/>
      <c r="B200" s="1"/>
      <c r="C200" s="1"/>
      <c r="D200" s="2"/>
      <c r="E200" s="2"/>
      <c r="F200" s="30"/>
      <c r="G200" s="30"/>
      <c r="H200" s="11"/>
      <c r="I200" s="30"/>
      <c r="J200" s="30"/>
      <c r="K200" s="30"/>
      <c r="L200" s="30"/>
      <c r="M200" s="47"/>
    </row>
    <row x14ac:dyDescent="0.25" r="201" customHeight="1" ht="18.75">
      <c r="A201" s="1"/>
      <c r="B201" s="1"/>
      <c r="C201" s="1"/>
      <c r="D201" s="2"/>
      <c r="E201" s="2"/>
      <c r="F201" s="30"/>
      <c r="G201" s="30"/>
      <c r="H201" s="11"/>
      <c r="I201" s="30"/>
      <c r="J201" s="30"/>
      <c r="K201" s="30"/>
      <c r="L201" s="30"/>
      <c r="M201" s="47"/>
    </row>
    <row x14ac:dyDescent="0.25" r="202" customHeight="1" ht="18.75">
      <c r="A202" s="1"/>
      <c r="B202" s="1"/>
      <c r="C202" s="1"/>
      <c r="D202" s="2"/>
      <c r="E202" s="2"/>
      <c r="F202" s="30"/>
      <c r="G202" s="30"/>
      <c r="H202" s="11"/>
      <c r="I202" s="30"/>
      <c r="J202" s="30"/>
      <c r="K202" s="30"/>
      <c r="L202" s="30"/>
      <c r="M202" s="47"/>
    </row>
    <row x14ac:dyDescent="0.25" r="203" customHeight="1" ht="18.75">
      <c r="A203" s="1"/>
      <c r="B203" s="1"/>
      <c r="C203" s="1"/>
      <c r="D203" s="2"/>
      <c r="E203" s="2"/>
      <c r="F203" s="30"/>
      <c r="G203" s="30"/>
      <c r="H203" s="11"/>
      <c r="I203" s="30"/>
      <c r="J203" s="30"/>
      <c r="K203" s="30"/>
      <c r="L203" s="30"/>
      <c r="M203" s="47"/>
    </row>
    <row x14ac:dyDescent="0.25" r="204" customHeight="1" ht="18.75">
      <c r="A204" s="1"/>
      <c r="B204" s="1"/>
      <c r="C204" s="1"/>
      <c r="D204" s="2"/>
      <c r="E204" s="2"/>
      <c r="F204" s="30"/>
      <c r="G204" s="30"/>
      <c r="H204" s="11"/>
      <c r="I204" s="30"/>
      <c r="J204" s="30"/>
      <c r="K204" s="30"/>
      <c r="L204" s="30"/>
      <c r="M204" s="47"/>
    </row>
    <row x14ac:dyDescent="0.25" r="205" customHeight="1" ht="18.75">
      <c r="A205" s="1"/>
      <c r="B205" s="1"/>
      <c r="C205" s="1"/>
      <c r="D205" s="2"/>
      <c r="E205" s="2"/>
      <c r="F205" s="30"/>
      <c r="G205" s="30"/>
      <c r="H205" s="11"/>
      <c r="I205" s="30"/>
      <c r="J205" s="30"/>
      <c r="K205" s="30"/>
      <c r="L205" s="30"/>
      <c r="M205" s="47"/>
    </row>
    <row x14ac:dyDescent="0.25" r="206" customHeight="1" ht="18.75">
      <c r="A206" s="1"/>
      <c r="B206" s="1"/>
      <c r="C206" s="1"/>
      <c r="D206" s="2"/>
      <c r="E206" s="2"/>
      <c r="F206" s="30"/>
      <c r="G206" s="30"/>
      <c r="H206" s="11"/>
      <c r="I206" s="30"/>
      <c r="J206" s="30"/>
      <c r="K206" s="30"/>
      <c r="L206" s="30"/>
      <c r="M206" s="47"/>
    </row>
    <row x14ac:dyDescent="0.25" r="207" customHeight="1" ht="18.75">
      <c r="A207" s="1"/>
      <c r="B207" s="1"/>
      <c r="C207" s="1"/>
      <c r="D207" s="2"/>
      <c r="E207" s="2"/>
      <c r="F207" s="30"/>
      <c r="G207" s="30"/>
      <c r="H207" s="11"/>
      <c r="I207" s="30"/>
      <c r="J207" s="30"/>
      <c r="K207" s="30"/>
      <c r="L207" s="30"/>
      <c r="M207" s="47"/>
    </row>
    <row x14ac:dyDescent="0.25" r="208" customHeight="1" ht="18.75">
      <c r="A208" s="1"/>
      <c r="B208" s="1"/>
      <c r="C208" s="1"/>
      <c r="D208" s="2"/>
      <c r="E208" s="2"/>
      <c r="F208" s="30"/>
      <c r="G208" s="30"/>
      <c r="H208" s="11"/>
      <c r="I208" s="30"/>
      <c r="J208" s="30"/>
      <c r="K208" s="30"/>
      <c r="L208" s="30"/>
      <c r="M208" s="47"/>
    </row>
    <row x14ac:dyDescent="0.25" r="209" customHeight="1" ht="18.75">
      <c r="A209" s="1"/>
      <c r="B209" s="1"/>
      <c r="C209" s="1"/>
      <c r="D209" s="2"/>
      <c r="E209" s="2"/>
      <c r="F209" s="30"/>
      <c r="G209" s="30"/>
      <c r="H209" s="11"/>
      <c r="I209" s="30"/>
      <c r="J209" s="30"/>
      <c r="K209" s="30"/>
      <c r="L209" s="30"/>
      <c r="M209" s="47"/>
    </row>
    <row x14ac:dyDescent="0.25" r="210" customHeight="1" ht="18.75">
      <c r="A210" s="1"/>
      <c r="B210" s="1"/>
      <c r="C210" s="1"/>
      <c r="D210" s="2"/>
      <c r="E210" s="2"/>
      <c r="F210" s="30"/>
      <c r="G210" s="30"/>
      <c r="H210" s="11"/>
      <c r="I210" s="30"/>
      <c r="J210" s="30"/>
      <c r="K210" s="30"/>
      <c r="L210" s="30"/>
      <c r="M210" s="47"/>
    </row>
    <row x14ac:dyDescent="0.25" r="211" customHeight="1" ht="18.75">
      <c r="A211" s="1"/>
      <c r="B211" s="1"/>
      <c r="C211" s="1"/>
      <c r="D211" s="2"/>
      <c r="E211" s="2"/>
      <c r="F211" s="30"/>
      <c r="G211" s="30"/>
      <c r="H211" s="11"/>
      <c r="I211" s="30"/>
      <c r="J211" s="30"/>
      <c r="K211" s="30"/>
      <c r="L211" s="30"/>
      <c r="M211" s="47"/>
    </row>
    <row x14ac:dyDescent="0.25" r="212" customHeight="1" ht="18.75">
      <c r="A212" s="1"/>
      <c r="B212" s="1"/>
      <c r="C212" s="1"/>
      <c r="D212" s="2"/>
      <c r="E212" s="2"/>
      <c r="F212" s="30"/>
      <c r="G212" s="30"/>
      <c r="H212" s="11"/>
      <c r="I212" s="30"/>
      <c r="J212" s="30"/>
      <c r="K212" s="30"/>
      <c r="L212" s="30"/>
      <c r="M212" s="4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18"/>
  <sheetViews>
    <sheetView workbookViewId="0"/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14.005" customWidth="1" bestFit="1"/>
    <col min="6" max="6" style="35" width="13.576428571428572" customWidth="1" bestFit="1"/>
    <col min="7" max="7" style="35" width="13.576428571428572" customWidth="1" bestFit="1"/>
    <col min="8" max="8" style="35" width="13.576428571428572" customWidth="1" bestFit="1"/>
    <col min="9" max="9" style="35" width="13.576428571428572" customWidth="1" bestFit="1"/>
    <col min="10" max="10" style="35" width="13.576428571428572" customWidth="1" bestFit="1"/>
  </cols>
  <sheetData>
    <row x14ac:dyDescent="0.25" r="1" customHeight="1" ht="18.75">
      <c r="A1" s="1" t="s">
        <v>86</v>
      </c>
      <c r="B1" s="1" t="s">
        <v>1</v>
      </c>
      <c r="C1" s="1" t="s">
        <v>2</v>
      </c>
      <c r="D1" s="2"/>
      <c r="E1" s="43" t="s">
        <v>87</v>
      </c>
      <c r="F1" s="42" t="s">
        <v>88</v>
      </c>
      <c r="G1" s="42" t="s">
        <v>89</v>
      </c>
      <c r="H1" s="42" t="s">
        <v>90</v>
      </c>
      <c r="I1" s="42" t="s">
        <v>91</v>
      </c>
      <c r="J1" s="42" t="s">
        <v>92</v>
      </c>
    </row>
    <row x14ac:dyDescent="0.25" r="2" customHeight="1" ht="18.75">
      <c r="A2" s="1" t="s">
        <v>120</v>
      </c>
      <c r="B2" s="1" t="s">
        <v>11</v>
      </c>
      <c r="C2" s="1" t="s">
        <v>12</v>
      </c>
      <c r="D2" s="2"/>
      <c r="E2" s="43" t="s">
        <v>94</v>
      </c>
      <c r="F2" s="44" t="s">
        <v>95</v>
      </c>
      <c r="G2" s="42" t="s">
        <v>96</v>
      </c>
      <c r="H2" s="42" t="s">
        <v>97</v>
      </c>
      <c r="I2" s="42" t="s">
        <v>98</v>
      </c>
      <c r="J2" s="42" t="s">
        <v>99</v>
      </c>
    </row>
    <row x14ac:dyDescent="0.25" r="3" customHeight="1" ht="18.75">
      <c r="A3" s="1" t="s">
        <v>121</v>
      </c>
      <c r="B3" s="1"/>
      <c r="C3" s="1" t="s">
        <v>122</v>
      </c>
      <c r="D3" s="2"/>
      <c r="E3" s="43" t="s">
        <v>122</v>
      </c>
      <c r="F3" s="41">
        <v>1227.09</v>
      </c>
      <c r="G3" s="41">
        <v>935.717</v>
      </c>
      <c r="H3" s="41">
        <v>1778.433</v>
      </c>
      <c r="I3" s="41">
        <v>711.41</v>
      </c>
      <c r="J3" s="41">
        <v>14.921</v>
      </c>
    </row>
    <row x14ac:dyDescent="0.25" r="4" customHeight="1" ht="18.75">
      <c r="A4" s="1" t="s">
        <v>123</v>
      </c>
      <c r="B4" s="1"/>
      <c r="C4" s="1" t="s">
        <v>124</v>
      </c>
      <c r="D4" s="2"/>
      <c r="E4" s="43" t="s">
        <v>124</v>
      </c>
      <c r="F4" s="41">
        <v>1479.538</v>
      </c>
      <c r="G4" s="41">
        <v>1199.465</v>
      </c>
      <c r="H4" s="41">
        <v>1867.939</v>
      </c>
      <c r="I4" s="41">
        <v>772.832</v>
      </c>
      <c r="J4" s="41">
        <v>16.662</v>
      </c>
    </row>
    <row x14ac:dyDescent="0.25" r="5" customHeight="1" ht="18.75">
      <c r="A5" s="1" t="s">
        <v>123</v>
      </c>
      <c r="B5" s="1"/>
      <c r="C5" s="1" t="s">
        <v>125</v>
      </c>
      <c r="D5" s="2"/>
      <c r="E5" s="43" t="s">
        <v>125</v>
      </c>
      <c r="F5" s="41">
        <v>1658.742</v>
      </c>
      <c r="G5" s="41">
        <v>1409.354</v>
      </c>
      <c r="H5" s="41">
        <v>1862.775</v>
      </c>
      <c r="I5" s="41">
        <v>779.59</v>
      </c>
      <c r="J5" s="41">
        <v>17.535</v>
      </c>
    </row>
    <row x14ac:dyDescent="0.25" r="6" customHeight="1" ht="18.75">
      <c r="A6" s="1" t="s">
        <v>123</v>
      </c>
      <c r="B6" s="1"/>
      <c r="C6" s="1" t="s">
        <v>126</v>
      </c>
      <c r="D6" s="2"/>
      <c r="E6" s="43" t="s">
        <v>126</v>
      </c>
      <c r="F6" s="41">
        <v>1704.5</v>
      </c>
      <c r="G6" s="41">
        <v>1487.434</v>
      </c>
      <c r="H6" s="41">
        <v>1783.701</v>
      </c>
      <c r="I6" s="41">
        <v>751.319</v>
      </c>
      <c r="J6" s="41">
        <v>17.752</v>
      </c>
    </row>
    <row x14ac:dyDescent="0.25" r="7" customHeight="1" ht="18.75">
      <c r="A7" s="1" t="s">
        <v>123</v>
      </c>
      <c r="B7" s="1"/>
      <c r="C7" s="1" t="s">
        <v>127</v>
      </c>
      <c r="D7" s="2"/>
      <c r="E7" s="43" t="s">
        <v>127</v>
      </c>
      <c r="F7" s="41">
        <v>1752.823</v>
      </c>
      <c r="G7" s="41">
        <v>1567.349</v>
      </c>
      <c r="H7" s="41">
        <v>1720.159</v>
      </c>
      <c r="I7" s="41">
        <v>724.928</v>
      </c>
      <c r="J7" s="41">
        <v>18.085</v>
      </c>
    </row>
    <row x14ac:dyDescent="0.25" r="8" customHeight="1" ht="18.75">
      <c r="A8" s="1" t="s">
        <v>123</v>
      </c>
      <c r="B8" s="1"/>
      <c r="C8" s="1" t="s">
        <v>128</v>
      </c>
      <c r="D8" s="2"/>
      <c r="E8" s="43" t="s">
        <v>128</v>
      </c>
      <c r="F8" s="41">
        <v>1832.481</v>
      </c>
      <c r="G8" s="41">
        <v>1693.931</v>
      </c>
      <c r="H8" s="41">
        <v>1648.866</v>
      </c>
      <c r="I8" s="41">
        <v>702.075</v>
      </c>
      <c r="J8" s="41">
        <v>18.109</v>
      </c>
    </row>
    <row x14ac:dyDescent="0.25" r="9" customHeight="1" ht="18.75">
      <c r="A9" s="1" t="s">
        <v>123</v>
      </c>
      <c r="B9" s="1"/>
      <c r="C9" s="1" t="s">
        <v>129</v>
      </c>
      <c r="D9" s="2"/>
      <c r="E9" s="43" t="s">
        <v>129</v>
      </c>
      <c r="F9" s="41">
        <v>1848.723</v>
      </c>
      <c r="G9" s="41">
        <v>1752.793</v>
      </c>
      <c r="H9" s="41">
        <v>1558.268</v>
      </c>
      <c r="I9" s="41">
        <v>660.358</v>
      </c>
      <c r="J9" s="41">
        <v>17.253</v>
      </c>
    </row>
    <row x14ac:dyDescent="0.25" r="10" customHeight="1" ht="18.75">
      <c r="A10" s="1" t="s">
        <v>123</v>
      </c>
      <c r="B10" s="1"/>
      <c r="C10" s="1" t="s">
        <v>130</v>
      </c>
      <c r="D10" s="2"/>
      <c r="E10" s="43" t="s">
        <v>130</v>
      </c>
      <c r="F10" s="41">
        <v>1872.96</v>
      </c>
      <c r="G10" s="41">
        <v>1823.736</v>
      </c>
      <c r="H10" s="41">
        <v>1475.104</v>
      </c>
      <c r="I10" s="41">
        <v>616.066</v>
      </c>
      <c r="J10" s="41">
        <v>16.238</v>
      </c>
    </row>
    <row x14ac:dyDescent="0.25" r="11" customHeight="1" ht="18.75">
      <c r="A11" s="1" t="s">
        <v>123</v>
      </c>
      <c r="B11" s="1"/>
      <c r="C11" s="1" t="s">
        <v>131</v>
      </c>
      <c r="D11" s="2"/>
      <c r="E11" s="45" t="s">
        <v>132</v>
      </c>
      <c r="F11" s="41">
        <v>1901.302</v>
      </c>
      <c r="G11" s="41">
        <v>1907.768</v>
      </c>
      <c r="H11" s="41">
        <v>1380.765</v>
      </c>
      <c r="I11" s="41">
        <v>574.561</v>
      </c>
      <c r="J11" s="41">
        <v>14.851</v>
      </c>
    </row>
    <row x14ac:dyDescent="0.25" r="12" customHeight="1" ht="18.75">
      <c r="A12" s="1" t="s">
        <v>123</v>
      </c>
      <c r="B12" s="1"/>
      <c r="C12" s="1" t="s">
        <v>133</v>
      </c>
      <c r="D12" s="2"/>
      <c r="E12" s="45" t="s">
        <v>134</v>
      </c>
      <c r="F12" s="41">
        <v>1879.674</v>
      </c>
      <c r="G12" s="41">
        <v>1903.447</v>
      </c>
      <c r="H12" s="41">
        <v>1325.566</v>
      </c>
      <c r="I12" s="41">
        <v>552.895</v>
      </c>
      <c r="J12" s="41">
        <v>14.052</v>
      </c>
    </row>
    <row x14ac:dyDescent="0.25" r="13" customHeight="1" ht="18.75">
      <c r="A13" s="1" t="s">
        <v>123</v>
      </c>
      <c r="B13" s="1"/>
      <c r="C13" s="1" t="s">
        <v>135</v>
      </c>
      <c r="D13" s="2"/>
      <c r="E13" s="43" t="s">
        <v>135</v>
      </c>
      <c r="F13" s="41">
        <v>1696.252</v>
      </c>
      <c r="G13" s="41">
        <v>1739.737</v>
      </c>
      <c r="H13" s="41">
        <v>1162.152</v>
      </c>
      <c r="I13" s="41">
        <v>502.433</v>
      </c>
      <c r="J13" s="41">
        <v>11.768</v>
      </c>
    </row>
    <row x14ac:dyDescent="0.25" r="14" customHeight="1" ht="18.75">
      <c r="A14" s="1" t="s">
        <v>123</v>
      </c>
      <c r="B14" s="1"/>
      <c r="C14" s="1" t="s">
        <v>136</v>
      </c>
      <c r="D14" s="2"/>
      <c r="E14" s="43" t="s">
        <v>136</v>
      </c>
      <c r="F14" s="41">
        <v>1415.542</v>
      </c>
      <c r="G14" s="41">
        <v>1505.803</v>
      </c>
      <c r="H14" s="41">
        <v>892.23</v>
      </c>
      <c r="I14" s="41">
        <v>407.358</v>
      </c>
      <c r="J14" s="41">
        <v>8.011</v>
      </c>
    </row>
    <row x14ac:dyDescent="0.25" r="15" customHeight="1" ht="18.75">
      <c r="A15" s="1" t="s">
        <v>123</v>
      </c>
      <c r="B15" s="1"/>
      <c r="C15" s="1" t="s">
        <v>137</v>
      </c>
      <c r="D15" s="2"/>
      <c r="E15" s="45" t="s">
        <v>138</v>
      </c>
      <c r="F15" s="41">
        <v>1293.705</v>
      </c>
      <c r="G15" s="41">
        <v>1407.142</v>
      </c>
      <c r="H15" s="41">
        <v>772.71</v>
      </c>
      <c r="I15" s="41">
        <v>375.808</v>
      </c>
      <c r="J15" s="41">
        <v>5.802</v>
      </c>
    </row>
    <row x14ac:dyDescent="0.25" r="16" customHeight="1" ht="18.75">
      <c r="A16" s="1" t="s">
        <v>123</v>
      </c>
      <c r="B16" s="1"/>
      <c r="C16" s="1" t="s">
        <v>139</v>
      </c>
      <c r="D16" s="2"/>
      <c r="E16" s="3" t="s">
        <v>139</v>
      </c>
      <c r="F16" s="16">
        <v>1246.246</v>
      </c>
      <c r="G16" s="16">
        <v>1389.359</v>
      </c>
      <c r="H16" s="16">
        <v>704.426</v>
      </c>
      <c r="I16" s="16">
        <v>347.13</v>
      </c>
      <c r="J16" s="16">
        <v>4.336</v>
      </c>
    </row>
    <row x14ac:dyDescent="0.25" r="17" customHeight="1" ht="18.75">
      <c r="A17" s="1" t="s">
        <v>123</v>
      </c>
      <c r="B17" s="1"/>
      <c r="C17" s="1" t="s">
        <v>140</v>
      </c>
      <c r="D17" s="2"/>
      <c r="E17" s="43" t="s">
        <v>140</v>
      </c>
      <c r="F17" s="41">
        <v>1244.61</v>
      </c>
      <c r="G17" s="41">
        <v>1421.473</v>
      </c>
      <c r="H17" s="41">
        <v>665.781</v>
      </c>
      <c r="I17" s="41">
        <v>324.322</v>
      </c>
      <c r="J17" s="41">
        <v>3.283</v>
      </c>
    </row>
    <row x14ac:dyDescent="0.25" r="18" customHeight="1" ht="18.75">
      <c r="A18" s="2"/>
      <c r="B18" s="2"/>
      <c r="C18" s="2"/>
      <c r="D18" s="2"/>
      <c r="E18" s="2"/>
      <c r="F18" s="30"/>
      <c r="G18" s="30"/>
      <c r="H18" s="30"/>
      <c r="I18" s="30"/>
      <c r="J18" s="3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18"/>
  <sheetViews>
    <sheetView workbookViewId="0"/>
  </sheetViews>
  <sheetFormatPr defaultRowHeight="15" x14ac:dyDescent="0.25"/>
  <cols>
    <col min="1" max="1" style="34" width="13.576428571428572" customWidth="1" bestFit="1"/>
    <col min="2" max="2" style="34" width="13.576428571428572" customWidth="1" bestFit="1"/>
    <col min="3" max="3" style="34" width="13.576428571428572" customWidth="1" bestFit="1"/>
    <col min="4" max="4" style="34" width="13.576428571428572" customWidth="1" bestFit="1"/>
    <col min="5" max="5" style="34" width="15.290714285714287" customWidth="1" bestFit="1"/>
    <col min="6" max="6" style="35" width="13.576428571428572" customWidth="1" bestFit="1"/>
    <col min="7" max="7" style="35" width="13.576428571428572" customWidth="1" bestFit="1"/>
    <col min="8" max="8" style="35" width="13.576428571428572" customWidth="1" bestFit="1"/>
    <col min="9" max="9" style="35" width="13.576428571428572" customWidth="1" bestFit="1"/>
    <col min="10" max="10" style="35" width="13.576428571428572" customWidth="1" bestFit="1"/>
  </cols>
  <sheetData>
    <row x14ac:dyDescent="0.25" r="1" customHeight="1" ht="18.75">
      <c r="A1" s="1" t="s">
        <v>86</v>
      </c>
      <c r="B1" s="1" t="s">
        <v>1</v>
      </c>
      <c r="C1" s="1" t="s">
        <v>2</v>
      </c>
      <c r="D1" s="2"/>
      <c r="E1" s="43" t="s">
        <v>87</v>
      </c>
      <c r="F1" s="42" t="s">
        <v>88</v>
      </c>
      <c r="G1" s="42" t="s">
        <v>89</v>
      </c>
      <c r="H1" s="42" t="s">
        <v>90</v>
      </c>
      <c r="I1" s="42" t="s">
        <v>91</v>
      </c>
      <c r="J1" s="42" t="s">
        <v>92</v>
      </c>
    </row>
    <row x14ac:dyDescent="0.25" r="2" customHeight="1" ht="18.75">
      <c r="A2" s="1" t="s">
        <v>93</v>
      </c>
      <c r="B2" s="1" t="s">
        <v>11</v>
      </c>
      <c r="C2" s="1" t="s">
        <v>12</v>
      </c>
      <c r="D2" s="2"/>
      <c r="E2" s="43" t="s">
        <v>94</v>
      </c>
      <c r="F2" s="44" t="s">
        <v>95</v>
      </c>
      <c r="G2" s="42" t="s">
        <v>96</v>
      </c>
      <c r="H2" s="42" t="s">
        <v>97</v>
      </c>
      <c r="I2" s="42" t="s">
        <v>98</v>
      </c>
      <c r="J2" s="42" t="s">
        <v>99</v>
      </c>
    </row>
    <row x14ac:dyDescent="0.25" r="3" customHeight="1" ht="18.75">
      <c r="A3" s="1" t="s">
        <v>100</v>
      </c>
      <c r="B3" s="1"/>
      <c r="C3" s="1" t="s">
        <v>101</v>
      </c>
      <c r="D3" s="2"/>
      <c r="E3" s="43" t="s">
        <v>101</v>
      </c>
      <c r="F3" s="41">
        <v>24.26</v>
      </c>
      <c r="G3" s="41">
        <v>21.97</v>
      </c>
      <c r="H3" s="41">
        <v>37.54</v>
      </c>
      <c r="I3" s="41">
        <v>33.83</v>
      </c>
      <c r="J3" s="41">
        <v>16.47</v>
      </c>
    </row>
    <row x14ac:dyDescent="0.25" r="4" customHeight="1" ht="18.75">
      <c r="A4" s="1" t="s">
        <v>102</v>
      </c>
      <c r="B4" s="1"/>
      <c r="C4" s="1" t="s">
        <v>103</v>
      </c>
      <c r="D4" s="2"/>
      <c r="E4" s="43" t="s">
        <v>103</v>
      </c>
      <c r="F4" s="41">
        <v>27.08</v>
      </c>
      <c r="G4" s="41">
        <v>24.94</v>
      </c>
      <c r="H4" s="41">
        <v>38.88</v>
      </c>
      <c r="I4" s="41">
        <v>35.57</v>
      </c>
      <c r="J4" s="41">
        <v>17.57</v>
      </c>
    </row>
    <row x14ac:dyDescent="0.25" r="5" customHeight="1" ht="18.75">
      <c r="A5" s="1" t="s">
        <v>102</v>
      </c>
      <c r="B5" s="1"/>
      <c r="C5" s="1" t="s">
        <v>104</v>
      </c>
      <c r="D5" s="2"/>
      <c r="E5" s="43" t="s">
        <v>104</v>
      </c>
      <c r="F5" s="41">
        <v>29.98</v>
      </c>
      <c r="G5" s="41">
        <v>28.05</v>
      </c>
      <c r="H5" s="41">
        <v>39.06</v>
      </c>
      <c r="I5" s="41">
        <v>35.79</v>
      </c>
      <c r="J5" s="41">
        <v>18.99</v>
      </c>
    </row>
    <row x14ac:dyDescent="0.25" r="6" customHeight="1" ht="18.75">
      <c r="A6" s="1" t="s">
        <v>102</v>
      </c>
      <c r="B6" s="1"/>
      <c r="C6" s="1" t="s">
        <v>105</v>
      </c>
      <c r="D6" s="2"/>
      <c r="E6" s="43" t="s">
        <v>105</v>
      </c>
      <c r="F6" s="41">
        <v>30.25</v>
      </c>
      <c r="G6" s="41">
        <v>28.77</v>
      </c>
      <c r="H6" s="41">
        <v>36.92</v>
      </c>
      <c r="I6" s="41">
        <v>34.18</v>
      </c>
      <c r="J6" s="41">
        <v>17.9</v>
      </c>
    </row>
    <row x14ac:dyDescent="0.25" r="7" customHeight="1" ht="18.75">
      <c r="A7" s="1" t="s">
        <v>102</v>
      </c>
      <c r="B7" s="1"/>
      <c r="C7" s="1" t="s">
        <v>106</v>
      </c>
      <c r="D7" s="2"/>
      <c r="E7" s="43" t="s">
        <v>106</v>
      </c>
      <c r="F7" s="41">
        <v>30.69</v>
      </c>
      <c r="G7" s="41">
        <v>29.69</v>
      </c>
      <c r="H7" s="41">
        <v>34.97</v>
      </c>
      <c r="I7" s="41">
        <v>32.68</v>
      </c>
      <c r="J7" s="41">
        <v>16.93</v>
      </c>
    </row>
    <row x14ac:dyDescent="0.25" r="8" customHeight="1" ht="18.75">
      <c r="A8" s="1" t="s">
        <v>102</v>
      </c>
      <c r="B8" s="1"/>
      <c r="C8" s="1" t="s">
        <v>107</v>
      </c>
      <c r="D8" s="2"/>
      <c r="E8" s="43" t="s">
        <v>107</v>
      </c>
      <c r="F8" s="41">
        <v>31.38</v>
      </c>
      <c r="G8" s="41">
        <v>30.93</v>
      </c>
      <c r="H8" s="41">
        <v>33.17</v>
      </c>
      <c r="I8" s="41">
        <v>31.35</v>
      </c>
      <c r="J8" s="41">
        <v>16.03</v>
      </c>
    </row>
    <row x14ac:dyDescent="0.25" r="9" customHeight="1" ht="18.75">
      <c r="A9" s="1" t="s">
        <v>102</v>
      </c>
      <c r="B9" s="1"/>
      <c r="C9" s="1" t="s">
        <v>108</v>
      </c>
      <c r="D9" s="2"/>
      <c r="E9" s="43" t="s">
        <v>108</v>
      </c>
      <c r="F9" s="41">
        <v>31.88</v>
      </c>
      <c r="G9" s="41">
        <v>32.08</v>
      </c>
      <c r="H9" s="41">
        <v>30.93</v>
      </c>
      <c r="I9" s="41">
        <v>29.46</v>
      </c>
      <c r="J9" s="41">
        <v>15.38</v>
      </c>
    </row>
    <row x14ac:dyDescent="0.25" r="10" customHeight="1" ht="18.75">
      <c r="A10" s="1" t="s">
        <v>102</v>
      </c>
      <c r="B10" s="1"/>
      <c r="C10" s="1" t="s">
        <v>109</v>
      </c>
      <c r="D10" s="2"/>
      <c r="E10" s="43" t="s">
        <v>109</v>
      </c>
      <c r="F10" s="41">
        <v>32.34</v>
      </c>
      <c r="G10" s="41">
        <v>33.15</v>
      </c>
      <c r="H10" s="41">
        <v>28.86</v>
      </c>
      <c r="I10" s="41">
        <v>27.7</v>
      </c>
      <c r="J10" s="41">
        <v>14.8</v>
      </c>
    </row>
    <row x14ac:dyDescent="0.25" r="11" customHeight="1" ht="18.75">
      <c r="A11" s="1" t="s">
        <v>102</v>
      </c>
      <c r="B11" s="1"/>
      <c r="C11" s="1" t="s">
        <v>110</v>
      </c>
      <c r="D11" s="2"/>
      <c r="E11" s="45" t="s">
        <v>111</v>
      </c>
      <c r="F11" s="41">
        <v>33.04</v>
      </c>
      <c r="G11" s="41">
        <v>34.45</v>
      </c>
      <c r="H11" s="41">
        <v>27.22</v>
      </c>
      <c r="I11" s="41">
        <v>25.84</v>
      </c>
      <c r="J11" s="41">
        <v>14.76</v>
      </c>
    </row>
    <row x14ac:dyDescent="0.25" r="12" customHeight="1" ht="18.75">
      <c r="A12" s="1" t="s">
        <v>102</v>
      </c>
      <c r="B12" s="1"/>
      <c r="C12" s="1" t="s">
        <v>112</v>
      </c>
      <c r="D12" s="2"/>
      <c r="E12" s="45" t="s">
        <v>113</v>
      </c>
      <c r="F12" s="41">
        <v>33.7</v>
      </c>
      <c r="G12" s="41">
        <v>35.55</v>
      </c>
      <c r="H12" s="41">
        <v>25.45</v>
      </c>
      <c r="I12" s="41">
        <v>24.64</v>
      </c>
      <c r="J12" s="41">
        <v>14.23</v>
      </c>
    </row>
    <row x14ac:dyDescent="0.25" r="13" customHeight="1" ht="18.75">
      <c r="A13" s="1" t="s">
        <v>102</v>
      </c>
      <c r="B13" s="1"/>
      <c r="C13" s="1" t="s">
        <v>114</v>
      </c>
      <c r="D13" s="2"/>
      <c r="E13" s="43" t="s">
        <v>114</v>
      </c>
      <c r="F13" s="41">
        <v>32.37</v>
      </c>
      <c r="G13" s="41">
        <v>34.46</v>
      </c>
      <c r="H13" s="41">
        <v>24.31</v>
      </c>
      <c r="I13" s="41">
        <v>23.27</v>
      </c>
      <c r="J13" s="41">
        <v>14.56</v>
      </c>
    </row>
    <row x14ac:dyDescent="0.25" r="14" customHeight="1" ht="18.75">
      <c r="A14" s="1" t="s">
        <v>102</v>
      </c>
      <c r="B14" s="1"/>
      <c r="C14" s="1" t="s">
        <v>115</v>
      </c>
      <c r="D14" s="2"/>
      <c r="E14" s="43" t="s">
        <v>115</v>
      </c>
      <c r="F14" s="41">
        <v>31.26</v>
      </c>
      <c r="G14" s="41">
        <v>32.5</v>
      </c>
      <c r="H14" s="41">
        <v>25.34</v>
      </c>
      <c r="I14" s="41">
        <v>23.71</v>
      </c>
      <c r="J14" s="41">
        <v>16.64</v>
      </c>
    </row>
    <row x14ac:dyDescent="0.25" r="15" customHeight="1" ht="18.75">
      <c r="A15" s="1" t="s">
        <v>102</v>
      </c>
      <c r="B15" s="1"/>
      <c r="C15" s="1" t="s">
        <v>116</v>
      </c>
      <c r="D15" s="2"/>
      <c r="E15" s="45" t="s">
        <v>117</v>
      </c>
      <c r="F15" s="41">
        <v>29.89</v>
      </c>
      <c r="G15" s="41">
        <v>30.24</v>
      </c>
      <c r="H15" s="41">
        <v>26.15</v>
      </c>
      <c r="I15" s="41">
        <v>23.75</v>
      </c>
      <c r="J15" s="41">
        <v>18.57</v>
      </c>
    </row>
    <row x14ac:dyDescent="0.25" r="16" customHeight="1" ht="18.75">
      <c r="A16" s="1" t="s">
        <v>102</v>
      </c>
      <c r="B16" s="1"/>
      <c r="C16" s="1" t="s">
        <v>118</v>
      </c>
      <c r="D16" s="2"/>
      <c r="E16" s="3" t="s">
        <v>118</v>
      </c>
      <c r="F16" s="16">
        <v>28.13</v>
      </c>
      <c r="G16" s="16">
        <v>28.61</v>
      </c>
      <c r="H16" s="16">
        <v>26.6</v>
      </c>
      <c r="I16" s="16">
        <v>23.79</v>
      </c>
      <c r="J16" s="16">
        <v>20.1</v>
      </c>
    </row>
    <row x14ac:dyDescent="0.25" r="17" customHeight="1" ht="18.75">
      <c r="A17" s="1" t="s">
        <v>102</v>
      </c>
      <c r="B17" s="1"/>
      <c r="C17" s="1" t="s">
        <v>119</v>
      </c>
      <c r="D17" s="2"/>
      <c r="E17" s="43" t="s">
        <v>119</v>
      </c>
      <c r="F17" s="41">
        <v>26.32</v>
      </c>
      <c r="G17" s="41">
        <v>27.29</v>
      </c>
      <c r="H17" s="41">
        <v>26.75</v>
      </c>
      <c r="I17" s="41">
        <v>23.82</v>
      </c>
      <c r="J17" s="41">
        <v>21.52</v>
      </c>
    </row>
    <row x14ac:dyDescent="0.25" r="18" customHeight="1" ht="18.75">
      <c r="A18" s="2"/>
      <c r="B18" s="2"/>
      <c r="C18" s="2"/>
      <c r="D18" s="2"/>
      <c r="E18" s="2"/>
      <c r="F18" s="30"/>
      <c r="G18" s="30"/>
      <c r="H18" s="30"/>
      <c r="I18" s="30"/>
      <c r="J18" s="3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234"/>
  <sheetViews>
    <sheetView workbookViewId="0">
      <pane state="frozen" activePane="bottomLeft" topLeftCell="A6" ySplit="5" xSplit="0"/>
    </sheetView>
  </sheetViews>
  <sheetFormatPr defaultRowHeight="15" x14ac:dyDescent="0.25"/>
  <cols>
    <col min="1" max="1" style="34" width="13.576428571428572" customWidth="1" bestFit="1"/>
    <col min="2" max="2" style="37" width="13.576428571428572" customWidth="1" bestFit="1"/>
    <col min="3" max="3" style="35" width="13.576428571428572" customWidth="1" bestFit="1"/>
  </cols>
  <sheetData>
    <row x14ac:dyDescent="0.25" r="1" customHeight="1" ht="18.75">
      <c r="A1" s="1" t="s">
        <v>80</v>
      </c>
      <c r="B1" s="38" t="s">
        <v>81</v>
      </c>
      <c r="C1" s="39" t="s">
        <v>82</v>
      </c>
    </row>
    <row x14ac:dyDescent="0.25" r="2" customHeight="1" ht="18.75">
      <c r="A2" s="1" t="s">
        <v>1</v>
      </c>
      <c r="B2" s="38" t="s">
        <v>11</v>
      </c>
      <c r="C2" s="39"/>
    </row>
    <row x14ac:dyDescent="0.25" r="3" customHeight="1" ht="18.75">
      <c r="A3" s="1" t="s">
        <v>2</v>
      </c>
      <c r="B3" s="38" t="s">
        <v>12</v>
      </c>
      <c r="C3" s="39" t="s">
        <v>83</v>
      </c>
    </row>
    <row x14ac:dyDescent="0.25" r="4" customHeight="1" ht="18.75">
      <c r="A4" s="2"/>
      <c r="B4" s="11"/>
      <c r="C4" s="30"/>
    </row>
    <row x14ac:dyDescent="0.25" r="5" customHeight="1" ht="18.75">
      <c r="A5" s="3" t="s">
        <v>84</v>
      </c>
      <c r="B5" s="40" t="s">
        <v>85</v>
      </c>
      <c r="C5" s="4" t="s">
        <v>83</v>
      </c>
    </row>
    <row x14ac:dyDescent="0.25" r="6" customHeight="1" ht="18.75">
      <c r="A6" s="2"/>
      <c r="B6" s="27">
        <v>202001</v>
      </c>
      <c r="C6" s="16">
        <v>2342.41</v>
      </c>
    </row>
    <row x14ac:dyDescent="0.25" r="7" customHeight="1" ht="18.75">
      <c r="A7" s="2"/>
      <c r="B7" s="27">
        <v>202002</v>
      </c>
      <c r="C7" s="16">
        <v>2141.12</v>
      </c>
    </row>
    <row x14ac:dyDescent="0.25" r="8" customHeight="1" ht="18.75">
      <c r="A8" s="2"/>
      <c r="B8" s="27">
        <v>202003</v>
      </c>
      <c r="C8" s="16">
        <v>1852.73</v>
      </c>
    </row>
    <row x14ac:dyDescent="0.25" r="9" customHeight="1" ht="18.75">
      <c r="A9" s="2"/>
      <c r="B9" s="27">
        <v>202004</v>
      </c>
      <c r="C9" s="16">
        <v>2052.85</v>
      </c>
    </row>
    <row x14ac:dyDescent="0.25" r="10" customHeight="1" ht="18.75">
      <c r="A10" s="2"/>
      <c r="B10" s="27">
        <v>202005</v>
      </c>
      <c r="C10" s="16">
        <v>2147.88</v>
      </c>
    </row>
    <row x14ac:dyDescent="0.25" r="11" customHeight="1" ht="18.75">
      <c r="A11" s="2"/>
      <c r="B11" s="27">
        <v>202006</v>
      </c>
      <c r="C11" s="16">
        <v>2201.79</v>
      </c>
    </row>
    <row x14ac:dyDescent="0.25" r="12" customHeight="1" ht="18.75">
      <c r="A12" s="2"/>
      <c r="B12" s="27">
        <v>202007</v>
      </c>
      <c r="C12" s="16">
        <v>2304.98</v>
      </c>
    </row>
    <row x14ac:dyDescent="0.25" r="13" customHeight="1" ht="18.75">
      <c r="A13" s="2"/>
      <c r="B13" s="27">
        <v>202008</v>
      </c>
      <c r="C13" s="16">
        <v>2455.51</v>
      </c>
    </row>
    <row x14ac:dyDescent="0.25" r="14" customHeight="1" ht="18.75">
      <c r="A14" s="2"/>
      <c r="B14" s="27">
        <v>202009</v>
      </c>
      <c r="C14" s="16">
        <v>2367.27</v>
      </c>
    </row>
    <row x14ac:dyDescent="0.25" r="15" customHeight="1" ht="18.75">
      <c r="A15" s="2"/>
      <c r="B15" s="27">
        <v>202010</v>
      </c>
      <c r="C15" s="16">
        <v>2292.93</v>
      </c>
    </row>
    <row x14ac:dyDescent="0.25" r="16" customHeight="1" ht="18.75">
      <c r="A16" s="2"/>
      <c r="B16" s="27">
        <v>202011</v>
      </c>
      <c r="C16" s="16">
        <v>2583.14</v>
      </c>
    </row>
    <row x14ac:dyDescent="0.25" r="17" customHeight="1" ht="18.75">
      <c r="A17" s="2"/>
      <c r="B17" s="27">
        <v>202012</v>
      </c>
      <c r="C17" s="16">
        <v>2690.04</v>
      </c>
    </row>
    <row x14ac:dyDescent="0.25" r="18" customHeight="1" ht="18.75">
      <c r="A18" s="2"/>
      <c r="B18" s="27">
        <v>202101</v>
      </c>
      <c r="C18" s="16">
        <v>2661.69</v>
      </c>
    </row>
    <row x14ac:dyDescent="0.25" r="19" customHeight="1" ht="18.75">
      <c r="A19" s="2"/>
      <c r="B19" s="27">
        <v>202102</v>
      </c>
      <c r="C19" s="16">
        <v>2726.91</v>
      </c>
    </row>
    <row x14ac:dyDescent="0.25" r="20" customHeight="1" ht="18.75">
      <c r="A20" s="2"/>
      <c r="B20" s="27">
        <v>202103</v>
      </c>
      <c r="C20" s="16">
        <v>2811.7</v>
      </c>
    </row>
    <row x14ac:dyDescent="0.25" r="21" customHeight="1" ht="18.75">
      <c r="A21" s="2"/>
      <c r="B21" s="27">
        <v>202104</v>
      </c>
      <c r="C21" s="16">
        <v>2938.76</v>
      </c>
    </row>
    <row x14ac:dyDescent="0.25" r="22" customHeight="1" ht="18.75">
      <c r="A22" s="2"/>
      <c r="B22" s="27">
        <v>202105</v>
      </c>
      <c r="C22" s="16">
        <v>2975.7</v>
      </c>
    </row>
    <row x14ac:dyDescent="0.25" r="23" customHeight="1" ht="18.75">
      <c r="A23" s="2"/>
      <c r="B23" s="27">
        <v>202106</v>
      </c>
      <c r="C23" s="16">
        <v>3017.23</v>
      </c>
    </row>
    <row x14ac:dyDescent="0.25" r="24" customHeight="1" ht="18.75">
      <c r="A24" s="2"/>
      <c r="B24" s="27">
        <v>202107</v>
      </c>
      <c r="C24" s="16">
        <v>3069.25</v>
      </c>
    </row>
    <row x14ac:dyDescent="0.25" r="25" customHeight="1" ht="18.75">
      <c r="A25" s="2"/>
      <c r="B25" s="27">
        <v>202108</v>
      </c>
      <c r="C25" s="16">
        <v>3141.35</v>
      </c>
    </row>
    <row x14ac:dyDescent="0.25" r="26" customHeight="1" ht="18.75">
      <c r="A26" s="2"/>
      <c r="B26" s="27">
        <v>202109</v>
      </c>
      <c r="C26" s="16">
        <v>3006.6</v>
      </c>
    </row>
    <row x14ac:dyDescent="0.25" r="27" customHeight="1" ht="18.75">
      <c r="A27" s="2"/>
      <c r="B27" s="27">
        <v>202110</v>
      </c>
      <c r="C27" s="16">
        <v>3174.73</v>
      </c>
    </row>
    <row x14ac:dyDescent="0.25" r="28" customHeight="1" ht="18.75">
      <c r="A28" s="2"/>
      <c r="B28" s="27">
        <v>202111</v>
      </c>
      <c r="C28" s="16">
        <v>3101.8</v>
      </c>
    </row>
    <row x14ac:dyDescent="0.25" r="29" customHeight="1" ht="18.75">
      <c r="A29" s="2"/>
      <c r="B29" s="27">
        <v>202112</v>
      </c>
      <c r="C29" s="16">
        <v>3231.73</v>
      </c>
    </row>
    <row x14ac:dyDescent="0.25" r="30" customHeight="1" ht="18.75">
      <c r="A30" s="2"/>
      <c r="B30" s="27">
        <v>202201</v>
      </c>
      <c r="C30" s="16">
        <v>3059.05</v>
      </c>
    </row>
    <row x14ac:dyDescent="0.25" r="31" customHeight="1" ht="18.75">
      <c r="A31" s="2"/>
      <c r="B31" s="27">
        <v>202202</v>
      </c>
      <c r="C31" s="16">
        <v>2977.95</v>
      </c>
    </row>
    <row x14ac:dyDescent="0.25" r="32" customHeight="1" ht="18.75">
      <c r="A32" s="2"/>
      <c r="B32" s="27">
        <v>202203</v>
      </c>
      <c r="C32" s="16">
        <v>3053.07</v>
      </c>
    </row>
    <row x14ac:dyDescent="0.25" r="33" customHeight="1" ht="18.75">
      <c r="A33" s="2"/>
      <c r="B33" s="27">
        <v>202204</v>
      </c>
      <c r="C33" s="16">
        <v>2795.62</v>
      </c>
    </row>
    <row x14ac:dyDescent="0.25" r="34" customHeight="1" ht="18.75">
      <c r="A34" s="2"/>
      <c r="B34" s="27">
        <v>202205</v>
      </c>
      <c r="C34" s="16">
        <v>2791.01</v>
      </c>
    </row>
    <row x14ac:dyDescent="0.25" r="35" customHeight="1" ht="18.75">
      <c r="A35" s="2"/>
      <c r="B35" s="27">
        <v>202206</v>
      </c>
      <c r="C35" s="16">
        <v>2546.19</v>
      </c>
    </row>
    <row x14ac:dyDescent="0.25" r="36" customHeight="1" ht="18.75">
      <c r="A36" s="2"/>
      <c r="B36" s="27">
        <v>202207</v>
      </c>
      <c r="C36" s="16">
        <v>2746.36</v>
      </c>
    </row>
    <row x14ac:dyDescent="0.25" r="37" customHeight="1" ht="18.75">
      <c r="A37" s="2"/>
      <c r="B37" s="27">
        <v>202208</v>
      </c>
      <c r="C37" s="16">
        <v>2627.32</v>
      </c>
    </row>
    <row x14ac:dyDescent="0.25" r="38" customHeight="1" ht="18.75">
      <c r="A38" s="2"/>
      <c r="B38" s="27">
        <v>202209</v>
      </c>
      <c r="C38" s="16">
        <v>2378.65</v>
      </c>
    </row>
    <row x14ac:dyDescent="0.25" r="39" customHeight="1" ht="18.75">
      <c r="A39" s="2"/>
      <c r="B39" s="27">
        <v>202210</v>
      </c>
      <c r="C39" s="16">
        <v>2547.72</v>
      </c>
    </row>
    <row x14ac:dyDescent="0.25" r="40" customHeight="1" ht="18.75">
      <c r="A40" s="2"/>
      <c r="B40" s="27">
        <v>202211</v>
      </c>
      <c r="C40" s="16">
        <v>2720.89</v>
      </c>
    </row>
    <row x14ac:dyDescent="0.25" r="41" customHeight="1" ht="18.75">
      <c r="A41" s="2"/>
      <c r="B41" s="27">
        <v>202212</v>
      </c>
      <c r="C41" s="16">
        <v>2602.69</v>
      </c>
    </row>
    <row x14ac:dyDescent="0.25" r="42" customHeight="1" ht="18.75">
      <c r="A42" s="2"/>
      <c r="B42" s="27">
        <v>202301</v>
      </c>
      <c r="C42" s="27">
        <v>2785</v>
      </c>
    </row>
    <row x14ac:dyDescent="0.25" r="43" customHeight="1" ht="18.75">
      <c r="A43" s="2"/>
      <c r="B43" s="27">
        <v>202302</v>
      </c>
      <c r="C43" s="41">
        <v>2714.57</v>
      </c>
    </row>
    <row x14ac:dyDescent="0.25" r="44" customHeight="1" ht="18.75">
      <c r="A44" s="2"/>
      <c r="B44" s="27">
        <v>202303</v>
      </c>
      <c r="C44" s="16">
        <v>2791.44</v>
      </c>
    </row>
    <row x14ac:dyDescent="0.25" r="45" customHeight="1" ht="18.75">
      <c r="A45" s="2"/>
      <c r="B45" s="27">
        <v>202304</v>
      </c>
      <c r="C45" s="16">
        <v>2835.93</v>
      </c>
    </row>
    <row x14ac:dyDescent="0.25" r="46" customHeight="1" ht="18.75">
      <c r="A46" s="2"/>
      <c r="B46" s="27">
        <v>202305</v>
      </c>
      <c r="C46" s="41">
        <v>2800.56</v>
      </c>
    </row>
    <row x14ac:dyDescent="0.25" r="47" customHeight="1" ht="18.75">
      <c r="A47" s="2"/>
      <c r="B47" s="27">
        <v>202306</v>
      </c>
      <c r="C47" s="16">
        <v>2966.72</v>
      </c>
    </row>
    <row x14ac:dyDescent="0.25" r="48" customHeight="1" ht="18.75">
      <c r="A48" s="2"/>
      <c r="B48" s="27">
        <v>202307</v>
      </c>
      <c r="C48" s="16">
        <v>3064.3</v>
      </c>
    </row>
    <row x14ac:dyDescent="0.25" r="49" customHeight="1" ht="18.75">
      <c r="A49" s="2"/>
      <c r="B49" s="27">
        <v>202308</v>
      </c>
      <c r="C49" s="41">
        <v>2986.02</v>
      </c>
    </row>
    <row x14ac:dyDescent="0.25" r="50" customHeight="1" ht="18.75">
      <c r="A50" s="2"/>
      <c r="B50" s="27">
        <v>202309</v>
      </c>
      <c r="C50" s="16">
        <v>2853.24</v>
      </c>
    </row>
    <row x14ac:dyDescent="0.25" r="51" customHeight="1" ht="18.75">
      <c r="A51" s="2"/>
      <c r="B51" s="27">
        <v>202310</v>
      </c>
      <c r="C51" s="16">
        <v>2768.62</v>
      </c>
    </row>
    <row x14ac:dyDescent="0.25" r="52" customHeight="1" ht="18.75">
      <c r="A52" s="2"/>
      <c r="B52" s="27">
        <v>202311</v>
      </c>
      <c r="C52" s="41">
        <v>3023.63</v>
      </c>
    </row>
    <row x14ac:dyDescent="0.25" r="53" customHeight="1" ht="18.75">
      <c r="A53" s="2"/>
      <c r="B53" s="27">
        <v>202312</v>
      </c>
      <c r="C53" s="16">
        <v>3169.18</v>
      </c>
    </row>
    <row x14ac:dyDescent="0.25" r="54" customHeight="1" ht="18.75">
      <c r="A54" s="2"/>
      <c r="B54" s="27">
        <v>202401</v>
      </c>
      <c r="C54" s="16">
        <v>3205.32</v>
      </c>
    </row>
    <row x14ac:dyDescent="0.25" r="55" customHeight="1" ht="18.75">
      <c r="A55" s="2"/>
      <c r="B55" s="27">
        <v>202402</v>
      </c>
      <c r="C55" s="41">
        <v>3337.2</v>
      </c>
    </row>
    <row x14ac:dyDescent="0.25" r="56" customHeight="1" ht="18.75">
      <c r="A56" s="2"/>
      <c r="B56" s="27">
        <v>202403</v>
      </c>
      <c r="C56" s="16">
        <v>3437.76</v>
      </c>
    </row>
    <row x14ac:dyDescent="0.25" r="57" customHeight="1" ht="18.75">
      <c r="A57" s="2"/>
      <c r="B57" s="27">
        <v>202404</v>
      </c>
      <c r="C57" s="16">
        <v>3305.3</v>
      </c>
    </row>
    <row x14ac:dyDescent="0.25" r="58" customHeight="1" ht="18.75">
      <c r="A58" s="2"/>
      <c r="B58" s="27">
        <v>202405</v>
      </c>
      <c r="C58" s="41">
        <v>3445.17</v>
      </c>
    </row>
    <row x14ac:dyDescent="0.25" r="59" customHeight="1" ht="18.75">
      <c r="A59" s="2"/>
      <c r="B59" s="27">
        <v>202406</v>
      </c>
      <c r="C59" s="16">
        <v>3511.78</v>
      </c>
    </row>
    <row x14ac:dyDescent="0.25" r="60" customHeight="1" ht="18.75">
      <c r="A60" s="2"/>
      <c r="B60" s="27">
        <v>202407</v>
      </c>
      <c r="C60" s="16">
        <v>3571.57</v>
      </c>
    </row>
    <row x14ac:dyDescent="0.25" r="61" customHeight="1" ht="18.75">
      <c r="A61" s="2"/>
      <c r="B61" s="27">
        <v>202408</v>
      </c>
      <c r="C61" s="41">
        <v>3661.24</v>
      </c>
    </row>
    <row x14ac:dyDescent="0.25" r="62" customHeight="1" ht="18.75">
      <c r="A62" s="2"/>
      <c r="B62" s="27">
        <v>202409</v>
      </c>
      <c r="C62" s="16">
        <v>3723.03</v>
      </c>
    </row>
    <row x14ac:dyDescent="0.25" r="63" customHeight="1" ht="18.75">
      <c r="A63" s="2"/>
      <c r="B63" s="27">
        <v>202410</v>
      </c>
      <c r="C63" s="16">
        <v>3647.14</v>
      </c>
    </row>
    <row x14ac:dyDescent="0.25" r="64" customHeight="1" ht="18.75">
      <c r="A64" s="2"/>
      <c r="B64" s="27">
        <v>202411</v>
      </c>
      <c r="C64" s="41">
        <v>3810.14</v>
      </c>
    </row>
    <row x14ac:dyDescent="0.25" r="65" customHeight="1" ht="18.75">
      <c r="A65" s="2"/>
      <c r="B65" s="27">
        <v>202412</v>
      </c>
      <c r="C65" s="16">
        <v>3707.84</v>
      </c>
    </row>
    <row x14ac:dyDescent="0.25" r="66" customHeight="1" ht="18.75">
      <c r="A66" s="2"/>
      <c r="B66" s="40"/>
      <c r="C66" s="42"/>
    </row>
    <row x14ac:dyDescent="0.25" r="67" customHeight="1" ht="18.75">
      <c r="A67" s="2"/>
      <c r="B67" s="11"/>
      <c r="C67" s="30"/>
    </row>
    <row x14ac:dyDescent="0.25" r="68" customHeight="1" ht="18.75">
      <c r="A68" s="2"/>
      <c r="B68" s="11"/>
      <c r="C68" s="30"/>
    </row>
    <row x14ac:dyDescent="0.25" r="69" customHeight="1" ht="18.75">
      <c r="A69" s="2"/>
      <c r="B69" s="11"/>
      <c r="C69" s="30"/>
    </row>
    <row x14ac:dyDescent="0.25" r="70" customHeight="1" ht="18.75">
      <c r="A70" s="2"/>
      <c r="B70" s="11"/>
      <c r="C70" s="30"/>
    </row>
    <row x14ac:dyDescent="0.25" r="71" customHeight="1" ht="18.75">
      <c r="A71" s="2"/>
      <c r="B71" s="11"/>
      <c r="C71" s="30"/>
    </row>
    <row x14ac:dyDescent="0.25" r="72" customHeight="1" ht="18.75">
      <c r="A72" s="2"/>
      <c r="B72" s="11"/>
      <c r="C72" s="30"/>
    </row>
    <row x14ac:dyDescent="0.25" r="73" customHeight="1" ht="18.75">
      <c r="A73" s="2"/>
      <c r="B73" s="11"/>
      <c r="C73" s="30"/>
    </row>
    <row x14ac:dyDescent="0.25" r="74" customHeight="1" ht="18.75">
      <c r="A74" s="2"/>
      <c r="B74" s="11"/>
      <c r="C74" s="30"/>
    </row>
    <row x14ac:dyDescent="0.25" r="75" customHeight="1" ht="18.75">
      <c r="A75" s="2"/>
      <c r="B75" s="11"/>
      <c r="C75" s="30"/>
    </row>
    <row x14ac:dyDescent="0.25" r="76" customHeight="1" ht="18.75">
      <c r="A76" s="2"/>
      <c r="B76" s="11"/>
      <c r="C76" s="30"/>
    </row>
    <row x14ac:dyDescent="0.25" r="77" customHeight="1" ht="18.75">
      <c r="A77" s="2"/>
      <c r="B77" s="11"/>
      <c r="C77" s="30"/>
    </row>
    <row x14ac:dyDescent="0.25" r="78" customHeight="1" ht="18.75">
      <c r="A78" s="2"/>
      <c r="B78" s="11"/>
      <c r="C78" s="30"/>
    </row>
    <row x14ac:dyDescent="0.25" r="79" customHeight="1" ht="18.75">
      <c r="A79" s="2"/>
      <c r="B79" s="11"/>
      <c r="C79" s="30"/>
    </row>
    <row x14ac:dyDescent="0.25" r="80" customHeight="1" ht="18.75">
      <c r="A80" s="2"/>
      <c r="B80" s="11"/>
      <c r="C80" s="30"/>
    </row>
    <row x14ac:dyDescent="0.25" r="81" customHeight="1" ht="18.75">
      <c r="A81" s="2"/>
      <c r="B81" s="11"/>
      <c r="C81" s="30"/>
    </row>
    <row x14ac:dyDescent="0.25" r="82" customHeight="1" ht="18.75">
      <c r="A82" s="2"/>
      <c r="B82" s="11"/>
      <c r="C82" s="30"/>
    </row>
    <row x14ac:dyDescent="0.25" r="83" customHeight="1" ht="18.75">
      <c r="A83" s="2"/>
      <c r="B83" s="11"/>
      <c r="C83" s="30"/>
    </row>
    <row x14ac:dyDescent="0.25" r="84" customHeight="1" ht="18.75">
      <c r="A84" s="2"/>
      <c r="B84" s="11"/>
      <c r="C84" s="30"/>
    </row>
    <row x14ac:dyDescent="0.25" r="85" customHeight="1" ht="18.75">
      <c r="A85" s="2"/>
      <c r="B85" s="11"/>
      <c r="C85" s="30"/>
    </row>
    <row x14ac:dyDescent="0.25" r="86" customHeight="1" ht="18.75">
      <c r="A86" s="2"/>
      <c r="B86" s="11"/>
      <c r="C86" s="30"/>
    </row>
    <row x14ac:dyDescent="0.25" r="87" customHeight="1" ht="18.75">
      <c r="A87" s="2"/>
      <c r="B87" s="11"/>
      <c r="C87" s="30"/>
    </row>
    <row x14ac:dyDescent="0.25" r="88" customHeight="1" ht="18.75">
      <c r="A88" s="2"/>
      <c r="B88" s="11"/>
      <c r="C88" s="30"/>
    </row>
    <row x14ac:dyDescent="0.25" r="89" customHeight="1" ht="18.75">
      <c r="A89" s="2"/>
      <c r="B89" s="11"/>
      <c r="C89" s="30"/>
    </row>
    <row x14ac:dyDescent="0.25" r="90" customHeight="1" ht="18.75">
      <c r="A90" s="2"/>
      <c r="B90" s="11"/>
      <c r="C90" s="30"/>
    </row>
    <row x14ac:dyDescent="0.25" r="91" customHeight="1" ht="18.75">
      <c r="A91" s="2"/>
      <c r="B91" s="11"/>
      <c r="C91" s="30"/>
    </row>
    <row x14ac:dyDescent="0.25" r="92" customHeight="1" ht="18.75">
      <c r="A92" s="2"/>
      <c r="B92" s="11"/>
      <c r="C92" s="30"/>
    </row>
    <row x14ac:dyDescent="0.25" r="93" customHeight="1" ht="18.75">
      <c r="A93" s="2"/>
      <c r="B93" s="11"/>
      <c r="C93" s="30"/>
    </row>
    <row x14ac:dyDescent="0.25" r="94" customHeight="1" ht="18.75">
      <c r="A94" s="2"/>
      <c r="B94" s="11"/>
      <c r="C94" s="30"/>
    </row>
    <row x14ac:dyDescent="0.25" r="95" customHeight="1" ht="18.75">
      <c r="A95" s="2"/>
      <c r="B95" s="11"/>
      <c r="C95" s="30"/>
    </row>
    <row x14ac:dyDescent="0.25" r="96" customHeight="1" ht="18.75">
      <c r="A96" s="2"/>
      <c r="B96" s="11"/>
      <c r="C96" s="30"/>
    </row>
    <row x14ac:dyDescent="0.25" r="97" customHeight="1" ht="18.75">
      <c r="A97" s="2"/>
      <c r="B97" s="11"/>
      <c r="C97" s="30"/>
    </row>
    <row x14ac:dyDescent="0.25" r="98" customHeight="1" ht="18.75">
      <c r="A98" s="2"/>
      <c r="B98" s="11"/>
      <c r="C98" s="30"/>
    </row>
    <row x14ac:dyDescent="0.25" r="99" customHeight="1" ht="18.75">
      <c r="A99" s="2"/>
      <c r="B99" s="11"/>
      <c r="C99" s="30"/>
    </row>
    <row x14ac:dyDescent="0.25" r="100" customHeight="1" ht="18.75">
      <c r="A100" s="2"/>
      <c r="B100" s="11"/>
      <c r="C100" s="30"/>
    </row>
    <row x14ac:dyDescent="0.25" r="101" customHeight="1" ht="18.75">
      <c r="A101" s="2"/>
      <c r="B101" s="11"/>
      <c r="C101" s="30"/>
    </row>
    <row x14ac:dyDescent="0.25" r="102" customHeight="1" ht="18.75">
      <c r="A102" s="2"/>
      <c r="B102" s="11"/>
      <c r="C102" s="30"/>
    </row>
    <row x14ac:dyDescent="0.25" r="103" customHeight="1" ht="18.75">
      <c r="A103" s="2"/>
      <c r="B103" s="11"/>
      <c r="C103" s="30"/>
    </row>
    <row x14ac:dyDescent="0.25" r="104" customHeight="1" ht="18.75">
      <c r="A104" s="2"/>
      <c r="B104" s="11"/>
      <c r="C104" s="30"/>
    </row>
    <row x14ac:dyDescent="0.25" r="105" customHeight="1" ht="18.75">
      <c r="A105" s="2"/>
      <c r="B105" s="11"/>
      <c r="C105" s="30"/>
    </row>
    <row x14ac:dyDescent="0.25" r="106" customHeight="1" ht="18.75">
      <c r="A106" s="2"/>
      <c r="B106" s="11"/>
      <c r="C106" s="30"/>
    </row>
    <row x14ac:dyDescent="0.25" r="107" customHeight="1" ht="18.75">
      <c r="A107" s="2"/>
      <c r="B107" s="11"/>
      <c r="C107" s="30"/>
    </row>
    <row x14ac:dyDescent="0.25" r="108" customHeight="1" ht="18.75">
      <c r="A108" s="2"/>
      <c r="B108" s="11"/>
      <c r="C108" s="30"/>
    </row>
    <row x14ac:dyDescent="0.25" r="109" customHeight="1" ht="18.75">
      <c r="A109" s="2"/>
      <c r="B109" s="11"/>
      <c r="C109" s="30"/>
    </row>
    <row x14ac:dyDescent="0.25" r="110" customHeight="1" ht="18.75">
      <c r="A110" s="2"/>
      <c r="B110" s="11"/>
      <c r="C110" s="30"/>
    </row>
    <row x14ac:dyDescent="0.25" r="111" customHeight="1" ht="18.75">
      <c r="A111" s="2"/>
      <c r="B111" s="11"/>
      <c r="C111" s="30"/>
    </row>
    <row x14ac:dyDescent="0.25" r="112" customHeight="1" ht="18.75">
      <c r="A112" s="2"/>
      <c r="B112" s="11"/>
      <c r="C112" s="30"/>
    </row>
    <row x14ac:dyDescent="0.25" r="113" customHeight="1" ht="18.75">
      <c r="A113" s="2"/>
      <c r="B113" s="11"/>
      <c r="C113" s="30"/>
    </row>
    <row x14ac:dyDescent="0.25" r="114" customHeight="1" ht="18.75">
      <c r="A114" s="2"/>
      <c r="B114" s="11"/>
      <c r="C114" s="30"/>
    </row>
    <row x14ac:dyDescent="0.25" r="115" customHeight="1" ht="18.75">
      <c r="A115" s="2"/>
      <c r="B115" s="11"/>
      <c r="C115" s="30"/>
    </row>
    <row x14ac:dyDescent="0.25" r="116" customHeight="1" ht="18.75">
      <c r="A116" s="2"/>
      <c r="B116" s="11"/>
      <c r="C116" s="30"/>
    </row>
    <row x14ac:dyDescent="0.25" r="117" customHeight="1" ht="18.75">
      <c r="A117" s="2"/>
      <c r="B117" s="11"/>
      <c r="C117" s="30"/>
    </row>
    <row x14ac:dyDescent="0.25" r="118" customHeight="1" ht="18.75">
      <c r="A118" s="2"/>
      <c r="B118" s="11"/>
      <c r="C118" s="30"/>
    </row>
    <row x14ac:dyDescent="0.25" r="119" customHeight="1" ht="18.75">
      <c r="A119" s="2"/>
      <c r="B119" s="11"/>
      <c r="C119" s="30"/>
    </row>
    <row x14ac:dyDescent="0.25" r="120" customHeight="1" ht="18.75">
      <c r="A120" s="2"/>
      <c r="B120" s="11"/>
      <c r="C120" s="30"/>
    </row>
    <row x14ac:dyDescent="0.25" r="121" customHeight="1" ht="18.75">
      <c r="A121" s="2"/>
      <c r="B121" s="11"/>
      <c r="C121" s="30"/>
    </row>
    <row x14ac:dyDescent="0.25" r="122" customHeight="1" ht="18.75">
      <c r="A122" s="2"/>
      <c r="B122" s="11"/>
      <c r="C122" s="30"/>
    </row>
    <row x14ac:dyDescent="0.25" r="123" customHeight="1" ht="18.75">
      <c r="A123" s="2"/>
      <c r="B123" s="11"/>
      <c r="C123" s="30"/>
    </row>
    <row x14ac:dyDescent="0.25" r="124" customHeight="1" ht="18.75">
      <c r="A124" s="2"/>
      <c r="B124" s="11"/>
      <c r="C124" s="30"/>
    </row>
    <row x14ac:dyDescent="0.25" r="125" customHeight="1" ht="18.75">
      <c r="A125" s="2"/>
      <c r="B125" s="11"/>
      <c r="C125" s="30"/>
    </row>
    <row x14ac:dyDescent="0.25" r="126" customHeight="1" ht="18.75">
      <c r="A126" s="2"/>
      <c r="B126" s="11"/>
      <c r="C126" s="30"/>
    </row>
    <row x14ac:dyDescent="0.25" r="127" customHeight="1" ht="18.75">
      <c r="A127" s="2"/>
      <c r="B127" s="11"/>
      <c r="C127" s="30"/>
    </row>
    <row x14ac:dyDescent="0.25" r="128" customHeight="1" ht="18.75">
      <c r="A128" s="2"/>
      <c r="B128" s="11"/>
      <c r="C128" s="30"/>
    </row>
    <row x14ac:dyDescent="0.25" r="129" customHeight="1" ht="18.75">
      <c r="A129" s="2"/>
      <c r="B129" s="11"/>
      <c r="C129" s="30"/>
    </row>
    <row x14ac:dyDescent="0.25" r="130" customHeight="1" ht="18.75">
      <c r="A130" s="2"/>
      <c r="B130" s="11"/>
      <c r="C130" s="30"/>
    </row>
    <row x14ac:dyDescent="0.25" r="131" customHeight="1" ht="18.75">
      <c r="A131" s="2"/>
      <c r="B131" s="11"/>
      <c r="C131" s="30"/>
    </row>
    <row x14ac:dyDescent="0.25" r="132" customHeight="1" ht="18.75">
      <c r="A132" s="2"/>
      <c r="B132" s="11"/>
      <c r="C132" s="30"/>
    </row>
    <row x14ac:dyDescent="0.25" r="133" customHeight="1" ht="18.75">
      <c r="A133" s="2"/>
      <c r="B133" s="11"/>
      <c r="C133" s="30"/>
    </row>
    <row x14ac:dyDescent="0.25" r="134" customHeight="1" ht="18.75">
      <c r="A134" s="2"/>
      <c r="B134" s="11"/>
      <c r="C134" s="30"/>
    </row>
    <row x14ac:dyDescent="0.25" r="135" customHeight="1" ht="18.75">
      <c r="A135" s="2"/>
      <c r="B135" s="11"/>
      <c r="C135" s="30"/>
    </row>
    <row x14ac:dyDescent="0.25" r="136" customHeight="1" ht="18.75">
      <c r="A136" s="2"/>
      <c r="B136" s="11"/>
      <c r="C136" s="30"/>
    </row>
    <row x14ac:dyDescent="0.25" r="137" customHeight="1" ht="18.75">
      <c r="A137" s="2"/>
      <c r="B137" s="11"/>
      <c r="C137" s="30"/>
    </row>
    <row x14ac:dyDescent="0.25" r="138" customHeight="1" ht="18.75">
      <c r="A138" s="2"/>
      <c r="B138" s="11"/>
      <c r="C138" s="30"/>
    </row>
    <row x14ac:dyDescent="0.25" r="139" customHeight="1" ht="18.75">
      <c r="A139" s="2"/>
      <c r="B139" s="11"/>
      <c r="C139" s="30"/>
    </row>
    <row x14ac:dyDescent="0.25" r="140" customHeight="1" ht="18.75">
      <c r="A140" s="2"/>
      <c r="B140" s="11"/>
      <c r="C140" s="30"/>
    </row>
    <row x14ac:dyDescent="0.25" r="141" customHeight="1" ht="18.75">
      <c r="A141" s="2"/>
      <c r="B141" s="11"/>
      <c r="C141" s="30"/>
    </row>
    <row x14ac:dyDescent="0.25" r="142" customHeight="1" ht="18.75">
      <c r="A142" s="2"/>
      <c r="B142" s="11"/>
      <c r="C142" s="30"/>
    </row>
    <row x14ac:dyDescent="0.25" r="143" customHeight="1" ht="18.75">
      <c r="A143" s="2"/>
      <c r="B143" s="11"/>
      <c r="C143" s="30"/>
    </row>
    <row x14ac:dyDescent="0.25" r="144" customHeight="1" ht="18.75">
      <c r="A144" s="2"/>
      <c r="B144" s="11"/>
      <c r="C144" s="30"/>
    </row>
    <row x14ac:dyDescent="0.25" r="145" customHeight="1" ht="18.75">
      <c r="A145" s="2"/>
      <c r="B145" s="11"/>
      <c r="C145" s="30"/>
    </row>
    <row x14ac:dyDescent="0.25" r="146" customHeight="1" ht="18.75">
      <c r="A146" s="2"/>
      <c r="B146" s="11"/>
      <c r="C146" s="30"/>
    </row>
    <row x14ac:dyDescent="0.25" r="147" customHeight="1" ht="18.75">
      <c r="A147" s="2"/>
      <c r="B147" s="11"/>
      <c r="C147" s="30"/>
    </row>
    <row x14ac:dyDescent="0.25" r="148" customHeight="1" ht="18.75">
      <c r="A148" s="2"/>
      <c r="B148" s="11"/>
      <c r="C148" s="30"/>
    </row>
    <row x14ac:dyDescent="0.25" r="149" customHeight="1" ht="18.75">
      <c r="A149" s="2"/>
      <c r="B149" s="11"/>
      <c r="C149" s="30"/>
    </row>
    <row x14ac:dyDescent="0.25" r="150" customHeight="1" ht="18.75">
      <c r="A150" s="2"/>
      <c r="B150" s="11"/>
      <c r="C150" s="30"/>
    </row>
    <row x14ac:dyDescent="0.25" r="151" customHeight="1" ht="18.75">
      <c r="A151" s="2"/>
      <c r="B151" s="11"/>
      <c r="C151" s="30"/>
    </row>
    <row x14ac:dyDescent="0.25" r="152" customHeight="1" ht="18.75">
      <c r="A152" s="2"/>
      <c r="B152" s="11"/>
      <c r="C152" s="30"/>
    </row>
    <row x14ac:dyDescent="0.25" r="153" customHeight="1" ht="18.75">
      <c r="A153" s="2"/>
      <c r="B153" s="11"/>
      <c r="C153" s="30"/>
    </row>
    <row x14ac:dyDescent="0.25" r="154" customHeight="1" ht="18.75">
      <c r="A154" s="2"/>
      <c r="B154" s="11"/>
      <c r="C154" s="30"/>
    </row>
    <row x14ac:dyDescent="0.25" r="155" customHeight="1" ht="18.75">
      <c r="A155" s="2"/>
      <c r="B155" s="11"/>
      <c r="C155" s="30"/>
    </row>
    <row x14ac:dyDescent="0.25" r="156" customHeight="1" ht="18.75">
      <c r="A156" s="2"/>
      <c r="B156" s="11"/>
      <c r="C156" s="30"/>
    </row>
    <row x14ac:dyDescent="0.25" r="157" customHeight="1" ht="18.75">
      <c r="A157" s="2"/>
      <c r="B157" s="11"/>
      <c r="C157" s="30"/>
    </row>
    <row x14ac:dyDescent="0.25" r="158" customHeight="1" ht="18.75">
      <c r="A158" s="2"/>
      <c r="B158" s="11"/>
      <c r="C158" s="30"/>
    </row>
    <row x14ac:dyDescent="0.25" r="159" customHeight="1" ht="18.75">
      <c r="A159" s="2"/>
      <c r="B159" s="11"/>
      <c r="C159" s="30"/>
    </row>
    <row x14ac:dyDescent="0.25" r="160" customHeight="1" ht="18.75">
      <c r="A160" s="2"/>
      <c r="B160" s="11"/>
      <c r="C160" s="30"/>
    </row>
    <row x14ac:dyDescent="0.25" r="161" customHeight="1" ht="18.75">
      <c r="A161" s="2"/>
      <c r="B161" s="11"/>
      <c r="C161" s="30"/>
    </row>
    <row x14ac:dyDescent="0.25" r="162" customHeight="1" ht="18.75">
      <c r="A162" s="2"/>
      <c r="B162" s="11"/>
      <c r="C162" s="30"/>
    </row>
    <row x14ac:dyDescent="0.25" r="163" customHeight="1" ht="18.75">
      <c r="A163" s="2"/>
      <c r="B163" s="11"/>
      <c r="C163" s="30"/>
    </row>
    <row x14ac:dyDescent="0.25" r="164" customHeight="1" ht="18.75">
      <c r="A164" s="2"/>
      <c r="B164" s="11"/>
      <c r="C164" s="30"/>
    </row>
    <row x14ac:dyDescent="0.25" r="165" customHeight="1" ht="18.75">
      <c r="A165" s="2"/>
      <c r="B165" s="11"/>
      <c r="C165" s="30"/>
    </row>
    <row x14ac:dyDescent="0.25" r="166" customHeight="1" ht="18.75">
      <c r="A166" s="2"/>
      <c r="B166" s="11"/>
      <c r="C166" s="30"/>
    </row>
    <row x14ac:dyDescent="0.25" r="167" customHeight="1" ht="18.75">
      <c r="A167" s="2"/>
      <c r="B167" s="11"/>
      <c r="C167" s="30"/>
    </row>
    <row x14ac:dyDescent="0.25" r="168" customHeight="1" ht="18.75">
      <c r="A168" s="2"/>
      <c r="B168" s="11"/>
      <c r="C168" s="30"/>
    </row>
    <row x14ac:dyDescent="0.25" r="169" customHeight="1" ht="18.75">
      <c r="A169" s="2"/>
      <c r="B169" s="11"/>
      <c r="C169" s="30"/>
    </row>
    <row x14ac:dyDescent="0.25" r="170" customHeight="1" ht="18.75">
      <c r="A170" s="2"/>
      <c r="B170" s="11"/>
      <c r="C170" s="30"/>
    </row>
    <row x14ac:dyDescent="0.25" r="171" customHeight="1" ht="18.75">
      <c r="A171" s="2"/>
      <c r="B171" s="11"/>
      <c r="C171" s="30"/>
    </row>
    <row x14ac:dyDescent="0.25" r="172" customHeight="1" ht="18.75">
      <c r="A172" s="2"/>
      <c r="B172" s="11"/>
      <c r="C172" s="30"/>
    </row>
    <row x14ac:dyDescent="0.25" r="173" customHeight="1" ht="18.75">
      <c r="A173" s="2"/>
      <c r="B173" s="11"/>
      <c r="C173" s="30"/>
    </row>
    <row x14ac:dyDescent="0.25" r="174" customHeight="1" ht="18.75">
      <c r="A174" s="2"/>
      <c r="B174" s="11"/>
      <c r="C174" s="30"/>
    </row>
    <row x14ac:dyDescent="0.25" r="175" customHeight="1" ht="18.75">
      <c r="A175" s="2"/>
      <c r="B175" s="11"/>
      <c r="C175" s="30"/>
    </row>
    <row x14ac:dyDescent="0.25" r="176" customHeight="1" ht="18.75">
      <c r="A176" s="2"/>
      <c r="B176" s="11"/>
      <c r="C176" s="30"/>
    </row>
    <row x14ac:dyDescent="0.25" r="177" customHeight="1" ht="18.75">
      <c r="A177" s="2"/>
      <c r="B177" s="11"/>
      <c r="C177" s="30"/>
    </row>
    <row x14ac:dyDescent="0.25" r="178" customHeight="1" ht="18.75">
      <c r="A178" s="2"/>
      <c r="B178" s="11"/>
      <c r="C178" s="30"/>
    </row>
    <row x14ac:dyDescent="0.25" r="179" customHeight="1" ht="18.75">
      <c r="A179" s="2"/>
      <c r="B179" s="11"/>
      <c r="C179" s="30"/>
    </row>
    <row x14ac:dyDescent="0.25" r="180" customHeight="1" ht="18.75">
      <c r="A180" s="2"/>
      <c r="B180" s="11"/>
      <c r="C180" s="30"/>
    </row>
    <row x14ac:dyDescent="0.25" r="181" customHeight="1" ht="18.75">
      <c r="A181" s="2"/>
      <c r="B181" s="11"/>
      <c r="C181" s="30"/>
    </row>
    <row x14ac:dyDescent="0.25" r="182" customHeight="1" ht="18.75">
      <c r="A182" s="2"/>
      <c r="B182" s="11"/>
      <c r="C182" s="30"/>
    </row>
    <row x14ac:dyDescent="0.25" r="183" customHeight="1" ht="18.75">
      <c r="A183" s="2"/>
      <c r="B183" s="11"/>
      <c r="C183" s="30"/>
    </row>
    <row x14ac:dyDescent="0.25" r="184" customHeight="1" ht="18.75">
      <c r="A184" s="2"/>
      <c r="B184" s="11"/>
      <c r="C184" s="30"/>
    </row>
    <row x14ac:dyDescent="0.25" r="185" customHeight="1" ht="18.75">
      <c r="A185" s="2"/>
      <c r="B185" s="11"/>
      <c r="C185" s="30"/>
    </row>
    <row x14ac:dyDescent="0.25" r="186" customHeight="1" ht="18.75">
      <c r="A186" s="2"/>
      <c r="B186" s="11"/>
      <c r="C186" s="30"/>
    </row>
    <row x14ac:dyDescent="0.25" r="187" customHeight="1" ht="18.75">
      <c r="A187" s="2"/>
      <c r="B187" s="11"/>
      <c r="C187" s="30"/>
    </row>
    <row x14ac:dyDescent="0.25" r="188" customHeight="1" ht="18.75">
      <c r="A188" s="2"/>
      <c r="B188" s="11"/>
      <c r="C188" s="30"/>
    </row>
    <row x14ac:dyDescent="0.25" r="189" customHeight="1" ht="18.75">
      <c r="A189" s="2"/>
      <c r="B189" s="11"/>
      <c r="C189" s="30"/>
    </row>
    <row x14ac:dyDescent="0.25" r="190" customHeight="1" ht="18.75">
      <c r="A190" s="2"/>
      <c r="B190" s="11"/>
      <c r="C190" s="30"/>
    </row>
    <row x14ac:dyDescent="0.25" r="191" customHeight="1" ht="18.75">
      <c r="A191" s="2"/>
      <c r="B191" s="11"/>
      <c r="C191" s="30"/>
    </row>
    <row x14ac:dyDescent="0.25" r="192" customHeight="1" ht="18.75">
      <c r="A192" s="2"/>
      <c r="B192" s="11"/>
      <c r="C192" s="30"/>
    </row>
    <row x14ac:dyDescent="0.25" r="193" customHeight="1" ht="18.75">
      <c r="A193" s="2"/>
      <c r="B193" s="11"/>
      <c r="C193" s="30"/>
    </row>
    <row x14ac:dyDescent="0.25" r="194" customHeight="1" ht="18.75">
      <c r="A194" s="2"/>
      <c r="B194" s="11"/>
      <c r="C194" s="30"/>
    </row>
    <row x14ac:dyDescent="0.25" r="195" customHeight="1" ht="18.75">
      <c r="A195" s="2"/>
      <c r="B195" s="11"/>
      <c r="C195" s="30"/>
    </row>
    <row x14ac:dyDescent="0.25" r="196" customHeight="1" ht="18.75">
      <c r="A196" s="2"/>
      <c r="B196" s="11"/>
      <c r="C196" s="30"/>
    </row>
    <row x14ac:dyDescent="0.25" r="197" customHeight="1" ht="18.75">
      <c r="A197" s="2"/>
      <c r="B197" s="11"/>
      <c r="C197" s="30"/>
    </row>
    <row x14ac:dyDescent="0.25" r="198" customHeight="1" ht="18.75">
      <c r="A198" s="2"/>
      <c r="B198" s="11"/>
      <c r="C198" s="30"/>
    </row>
    <row x14ac:dyDescent="0.25" r="199" customHeight="1" ht="18.75">
      <c r="A199" s="2"/>
      <c r="B199" s="11"/>
      <c r="C199" s="30"/>
    </row>
    <row x14ac:dyDescent="0.25" r="200" customHeight="1" ht="18.75">
      <c r="A200" s="2"/>
      <c r="B200" s="11"/>
      <c r="C200" s="30"/>
    </row>
    <row x14ac:dyDescent="0.25" r="201" customHeight="1" ht="18.75">
      <c r="A201" s="2"/>
      <c r="B201" s="11"/>
      <c r="C201" s="30"/>
    </row>
    <row x14ac:dyDescent="0.25" r="202" customHeight="1" ht="18.75">
      <c r="A202" s="2"/>
      <c r="B202" s="11"/>
      <c r="C202" s="30"/>
    </row>
    <row x14ac:dyDescent="0.25" r="203" customHeight="1" ht="18.75">
      <c r="A203" s="2"/>
      <c r="B203" s="11"/>
      <c r="C203" s="30"/>
    </row>
    <row x14ac:dyDescent="0.25" r="204" customHeight="1" ht="18.75">
      <c r="A204" s="2"/>
      <c r="B204" s="11"/>
      <c r="C204" s="30"/>
    </row>
    <row x14ac:dyDescent="0.25" r="205" customHeight="1" ht="18.75">
      <c r="A205" s="2"/>
      <c r="B205" s="11"/>
      <c r="C205" s="30"/>
    </row>
    <row x14ac:dyDescent="0.25" r="206" customHeight="1" ht="18.75">
      <c r="A206" s="2"/>
      <c r="B206" s="11"/>
      <c r="C206" s="30"/>
    </row>
    <row x14ac:dyDescent="0.25" r="207" customHeight="1" ht="18.75">
      <c r="A207" s="2"/>
      <c r="B207" s="11"/>
      <c r="C207" s="30"/>
    </row>
    <row x14ac:dyDescent="0.25" r="208" customHeight="1" ht="18.75">
      <c r="A208" s="2"/>
      <c r="B208" s="11"/>
      <c r="C208" s="30"/>
    </row>
    <row x14ac:dyDescent="0.25" r="209" customHeight="1" ht="18.75">
      <c r="A209" s="2"/>
      <c r="B209" s="11"/>
      <c r="C209" s="30"/>
    </row>
    <row x14ac:dyDescent="0.25" r="210" customHeight="1" ht="18.75">
      <c r="A210" s="2"/>
      <c r="B210" s="11"/>
      <c r="C210" s="30"/>
    </row>
    <row x14ac:dyDescent="0.25" r="211" customHeight="1" ht="18.75">
      <c r="A211" s="2"/>
      <c r="B211" s="11"/>
      <c r="C211" s="30"/>
    </row>
    <row x14ac:dyDescent="0.25" r="212" customHeight="1" ht="18.75">
      <c r="A212" s="2"/>
      <c r="B212" s="11"/>
      <c r="C212" s="30"/>
    </row>
    <row x14ac:dyDescent="0.25" r="213" customHeight="1" ht="18.75">
      <c r="A213" s="2"/>
      <c r="B213" s="11"/>
      <c r="C213" s="30"/>
    </row>
    <row x14ac:dyDescent="0.25" r="214" customHeight="1" ht="18.75">
      <c r="A214" s="2"/>
      <c r="B214" s="11"/>
      <c r="C214" s="30"/>
    </row>
    <row x14ac:dyDescent="0.25" r="215" customHeight="1" ht="18.75">
      <c r="A215" s="2"/>
      <c r="B215" s="11"/>
      <c r="C215" s="30"/>
    </row>
    <row x14ac:dyDescent="0.25" r="216" customHeight="1" ht="18.75">
      <c r="A216" s="2"/>
      <c r="B216" s="11"/>
      <c r="C216" s="30"/>
    </row>
    <row x14ac:dyDescent="0.25" r="217" customHeight="1" ht="18.75">
      <c r="A217" s="2"/>
      <c r="B217" s="11"/>
      <c r="C217" s="42"/>
    </row>
    <row x14ac:dyDescent="0.25" r="218" customHeight="1" ht="18.75">
      <c r="A218" s="2"/>
      <c r="B218" s="11"/>
      <c r="C218" s="30"/>
    </row>
    <row x14ac:dyDescent="0.25" r="219" customHeight="1" ht="18.75">
      <c r="A219" s="2"/>
      <c r="B219" s="11"/>
      <c r="C219" s="30"/>
    </row>
    <row x14ac:dyDescent="0.25" r="220" customHeight="1" ht="18.75">
      <c r="A220" s="2"/>
      <c r="B220" s="11"/>
      <c r="C220" s="30"/>
    </row>
    <row x14ac:dyDescent="0.25" r="221" customHeight="1" ht="18.75">
      <c r="A221" s="2"/>
      <c r="B221" s="11"/>
      <c r="C221" s="30"/>
    </row>
    <row x14ac:dyDescent="0.25" r="222" customHeight="1" ht="18.75">
      <c r="A222" s="2"/>
      <c r="B222" s="11"/>
      <c r="C222" s="30"/>
    </row>
    <row x14ac:dyDescent="0.25" r="223" customHeight="1" ht="18.75">
      <c r="A223" s="2"/>
      <c r="B223" s="11"/>
      <c r="C223" s="30"/>
    </row>
    <row x14ac:dyDescent="0.25" r="224" customHeight="1" ht="18.75">
      <c r="A224" s="2"/>
      <c r="B224" s="11"/>
      <c r="C224" s="30"/>
    </row>
    <row x14ac:dyDescent="0.25" r="225" customHeight="1" ht="18.75">
      <c r="A225" s="2"/>
      <c r="B225" s="11"/>
      <c r="C225" s="30"/>
    </row>
    <row x14ac:dyDescent="0.25" r="226" customHeight="1" ht="18.75">
      <c r="A226" s="2"/>
      <c r="B226" s="11"/>
      <c r="C226" s="30"/>
    </row>
    <row x14ac:dyDescent="0.25" r="227" customHeight="1" ht="18.75">
      <c r="A227" s="2"/>
      <c r="B227" s="11"/>
      <c r="C227" s="30"/>
    </row>
    <row x14ac:dyDescent="0.25" r="228" customHeight="1" ht="18.75">
      <c r="A228" s="2"/>
      <c r="B228" s="11"/>
      <c r="C228" s="30"/>
    </row>
    <row x14ac:dyDescent="0.25" r="229" customHeight="1" ht="18.75">
      <c r="A229" s="2"/>
      <c r="B229" s="11"/>
      <c r="C229" s="30"/>
    </row>
    <row x14ac:dyDescent="0.25" r="230" customHeight="1" ht="18.75">
      <c r="A230" s="2"/>
      <c r="B230" s="11"/>
      <c r="C230" s="42"/>
    </row>
    <row x14ac:dyDescent="0.25" r="231" customHeight="1" ht="18.75">
      <c r="A231" s="2"/>
      <c r="B231" s="11"/>
      <c r="C231" s="30"/>
    </row>
    <row x14ac:dyDescent="0.25" r="232" customHeight="1" ht="18.75">
      <c r="A232" s="2"/>
      <c r="B232" s="11"/>
      <c r="C232" s="30"/>
    </row>
    <row x14ac:dyDescent="0.25" r="233" customHeight="1" ht="18.75">
      <c r="A233" s="2"/>
      <c r="B233" s="11"/>
      <c r="C233" s="42"/>
    </row>
    <row x14ac:dyDescent="0.25" r="234" customHeight="1" ht="18.75">
      <c r="A234" s="2"/>
      <c r="B234" s="11"/>
      <c r="C234" s="4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160"/>
  <sheetViews>
    <sheetView workbookViewId="0">
      <pane state="frozen" activePane="bottomLeft" topLeftCell="A3" ySplit="2" xSplit="0"/>
    </sheetView>
  </sheetViews>
  <sheetFormatPr defaultRowHeight="15" x14ac:dyDescent="0.25"/>
  <cols>
    <col min="1" max="1" style="34" width="15.719285714285713" customWidth="1" bestFit="1"/>
    <col min="2" max="2" style="34" width="15.719285714285713" customWidth="1" bestFit="1"/>
    <col min="3" max="3" style="34" width="15.719285714285713" customWidth="1" bestFit="1"/>
    <col min="4" max="4" style="34" width="15.719285714285713" customWidth="1" bestFit="1"/>
    <col min="5" max="5" style="34" width="15.719285714285713" customWidth="1" bestFit="1"/>
    <col min="6" max="6" style="35" width="15.719285714285713" customWidth="1" bestFit="1"/>
    <col min="7" max="7" style="35" width="15.719285714285713" customWidth="1" bestFit="1"/>
    <col min="8" max="8" style="35" width="15.719285714285713" customWidth="1" bestFit="1"/>
    <col min="9" max="9" style="35" width="15.719285714285713" customWidth="1" bestFit="1"/>
    <col min="10" max="10" style="35" width="13.576428571428572" customWidth="1" bestFit="1"/>
    <col min="11" max="11" style="36" width="13.576428571428572" customWidth="1" bestFit="1"/>
    <col min="12" max="12" style="36" width="13.576428571428572" customWidth="1" bestFit="1"/>
    <col min="13" max="13" style="37" width="13.576428571428572" customWidth="1" bestFit="1"/>
    <col min="14" max="14" style="34" width="13.576428571428572" customWidth="1" bestFit="1"/>
    <col min="15" max="15" style="37" width="13.576428571428572" customWidth="1" bestFit="1"/>
    <col min="16" max="16" style="34" width="13.576428571428572" customWidth="1" bestFit="1"/>
    <col min="17" max="17" style="35" width="13.576428571428572" customWidth="1" bestFit="1"/>
    <col min="18" max="18" style="34" width="13.576428571428572" customWidth="1" bestFit="1"/>
    <col min="19" max="19" style="34" width="13.576428571428572" customWidth="1" bestFit="1"/>
    <col min="20" max="20" style="37" width="13.576428571428572" customWidth="1" bestFit="1"/>
    <col min="21" max="21" style="37" width="13.576428571428572" customWidth="1" bestFit="1"/>
    <col min="22" max="22" style="37" width="13.576428571428572" customWidth="1" bestFit="1"/>
    <col min="23" max="23" style="37" width="13.576428571428572" customWidth="1" bestFit="1"/>
  </cols>
  <sheetData>
    <row x14ac:dyDescent="0.25" r="1" customHeight="1" ht="18.75">
      <c r="A1" s="1" t="s">
        <v>0</v>
      </c>
      <c r="B1" s="1" t="s">
        <v>1</v>
      </c>
      <c r="C1" s="1" t="s">
        <v>2</v>
      </c>
      <c r="D1" s="2"/>
      <c r="E1" s="3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4" t="s">
        <v>8</v>
      </c>
      <c r="K1" s="6"/>
      <c r="L1" s="6"/>
      <c r="M1" s="7"/>
      <c r="N1" s="2"/>
      <c r="O1" s="8" t="s">
        <v>9</v>
      </c>
      <c r="P1" s="9"/>
      <c r="Q1" s="10"/>
      <c r="R1" s="2"/>
      <c r="S1" s="2"/>
      <c r="T1" s="11"/>
      <c r="U1" s="11"/>
      <c r="V1" s="11"/>
      <c r="W1" s="11"/>
    </row>
    <row x14ac:dyDescent="0.25" r="2" customHeight="1" ht="18.75">
      <c r="A2" s="1" t="s">
        <v>10</v>
      </c>
      <c r="B2" s="1" t="s">
        <v>11</v>
      </c>
      <c r="C2" s="1" t="s">
        <v>12</v>
      </c>
      <c r="D2" s="2"/>
      <c r="E2" s="3" t="s">
        <v>13</v>
      </c>
      <c r="F2" s="4" t="s">
        <v>14</v>
      </c>
      <c r="G2" s="4" t="s">
        <v>15</v>
      </c>
      <c r="H2" s="4" t="s">
        <v>16</v>
      </c>
      <c r="I2" s="5" t="s">
        <v>17</v>
      </c>
      <c r="J2" s="4" t="s">
        <v>18</v>
      </c>
      <c r="K2" s="12"/>
      <c r="L2" s="12"/>
      <c r="M2" s="7"/>
      <c r="N2" s="2"/>
      <c r="O2" s="13">
        <f>I2</f>
      </c>
      <c r="P2" s="14" t="s">
        <v>19</v>
      </c>
      <c r="Q2" s="15" t="s">
        <v>20</v>
      </c>
      <c r="R2" s="2"/>
      <c r="S2" s="2"/>
      <c r="T2" s="11"/>
      <c r="U2" s="11"/>
      <c r="V2" s="11"/>
      <c r="W2" s="11"/>
    </row>
    <row x14ac:dyDescent="0.25" r="3" customHeight="1" ht="18.75">
      <c r="A3" s="1" t="s">
        <v>21</v>
      </c>
      <c r="B3" s="1"/>
      <c r="C3" s="1" t="s">
        <v>22</v>
      </c>
      <c r="D3" s="2"/>
      <c r="E3" s="3" t="s">
        <v>22</v>
      </c>
      <c r="F3" s="16">
        <v>8.04</v>
      </c>
      <c r="G3" s="16">
        <v>7.91</v>
      </c>
      <c r="H3" s="16">
        <v>-0.26</v>
      </c>
      <c r="I3" s="17">
        <v>2.23</v>
      </c>
      <c r="J3" s="4"/>
      <c r="K3" s="18"/>
      <c r="L3" s="18"/>
      <c r="M3" s="19">
        <f>VALUE(LEFT(E3,4))</f>
      </c>
      <c r="N3" s="2"/>
      <c r="O3" s="20">
        <f>ROUNDDOWN(100*PERCENTRANK($I$3:$I$41,I3),0)</f>
      </c>
      <c r="P3" s="21">
        <f>IF(AND(O3&gt;=$T$4,O3&lt;=$U$4),$S$4,"") &amp; IF(AND(O3&gt;=$T$5,O3&lt;=$U$5),$S$5,"")  &amp; IF(AND(O3&gt;=$T$6,O3&lt;=$U$6),$S$6,"")</f>
      </c>
      <c r="Q3" s="15">
        <f>VLOOKUP(P3,#REF!,2,0)</f>
      </c>
      <c r="R3" s="2"/>
      <c r="S3" s="22" t="s">
        <v>23</v>
      </c>
      <c r="T3" s="23" t="s">
        <v>24</v>
      </c>
      <c r="U3" s="23" t="s">
        <v>25</v>
      </c>
      <c r="V3" s="24" t="s">
        <v>26</v>
      </c>
      <c r="W3" s="23" t="s">
        <v>27</v>
      </c>
    </row>
    <row x14ac:dyDescent="0.25" r="4" customHeight="1" ht="18.75">
      <c r="A4" s="1" t="s">
        <v>28</v>
      </c>
      <c r="B4" s="1"/>
      <c r="C4" s="1" t="s">
        <v>29</v>
      </c>
      <c r="D4" s="2"/>
      <c r="E4" s="3" t="s">
        <v>29</v>
      </c>
      <c r="F4" s="16">
        <v>9.47</v>
      </c>
      <c r="G4" s="16">
        <v>5.1</v>
      </c>
      <c r="H4" s="16">
        <v>2.54</v>
      </c>
      <c r="I4" s="17">
        <v>2.31</v>
      </c>
      <c r="J4" s="4"/>
      <c r="K4" s="18"/>
      <c r="L4" s="18"/>
      <c r="M4" s="19">
        <f>VALUE(LEFT(E4,4))</f>
      </c>
      <c r="N4" s="2"/>
      <c r="O4" s="20">
        <f>ROUNDDOWN(100*PERCENTRANK($I$3:$I$41,I4),0)</f>
      </c>
      <c r="P4" s="21">
        <f>IF(AND(O4&gt;=$T$4,O4&lt;=$U$4),$S$4,"") &amp; IF(AND(O4&gt;=$T$5,O4&lt;=$U$5),$S$5,"")  &amp; IF(AND(O4&gt;=$T$6,O4&lt;=$U$6),$S$6,"")</f>
      </c>
      <c r="Q4" s="15">
        <f>VLOOKUP(P4,#REF!,2,0)</f>
      </c>
      <c r="R4" s="2"/>
      <c r="S4" s="22" t="s">
        <v>30</v>
      </c>
      <c r="T4" s="25">
        <v>70</v>
      </c>
      <c r="U4" s="26">
        <v>100</v>
      </c>
      <c r="V4" s="26">
        <f>U4-T4</f>
      </c>
      <c r="W4" s="26">
        <v>3</v>
      </c>
    </row>
    <row x14ac:dyDescent="0.25" r="5" customHeight="1" ht="18.75">
      <c r="A5" s="1" t="s">
        <v>28</v>
      </c>
      <c r="B5" s="1"/>
      <c r="C5" s="1" t="s">
        <v>31</v>
      </c>
      <c r="D5" s="2"/>
      <c r="E5" s="3" t="s">
        <v>31</v>
      </c>
      <c r="F5" s="16">
        <v>4.81</v>
      </c>
      <c r="G5" s="27">
        <v>9</v>
      </c>
      <c r="H5" s="16">
        <v>-1.8</v>
      </c>
      <c r="I5" s="17">
        <v>0.75</v>
      </c>
      <c r="J5" s="4"/>
      <c r="K5" s="18"/>
      <c r="L5" s="18"/>
      <c r="M5" s="19">
        <f>VALUE(LEFT(E5,4))</f>
      </c>
      <c r="N5" s="2"/>
      <c r="O5" s="20">
        <f>ROUNDDOWN(100*PERCENTRANK($I$3:$I$41,I5),0)</f>
      </c>
      <c r="P5" s="21">
        <f>IF(AND(O5&gt;=$T$4,O5&lt;=$U$4),$S$4,"") &amp; IF(AND(O5&gt;=$T$5,O5&lt;=$U$5),$S$5,"")  &amp; IF(AND(O5&gt;=$T$6,O5&lt;=$U$6),$S$6,"")</f>
      </c>
      <c r="Q5" s="15">
        <f>VLOOKUP(P5,#REF!,2,0)</f>
      </c>
      <c r="R5" s="2"/>
      <c r="S5" s="22" t="s">
        <v>32</v>
      </c>
      <c r="T5" s="26">
        <f>U6+1</f>
      </c>
      <c r="U5" s="26">
        <f>T4-1</f>
      </c>
      <c r="V5" s="26">
        <f>U5-T5</f>
      </c>
      <c r="W5" s="26">
        <v>2</v>
      </c>
    </row>
    <row x14ac:dyDescent="0.25" r="6" customHeight="1" ht="18.75">
      <c r="A6" s="1" t="s">
        <v>28</v>
      </c>
      <c r="B6" s="1"/>
      <c r="C6" s="1" t="s">
        <v>33</v>
      </c>
      <c r="D6" s="2"/>
      <c r="E6" s="3" t="s">
        <v>33</v>
      </c>
      <c r="F6" s="16">
        <v>9.02</v>
      </c>
      <c r="G6" s="16">
        <v>10.8</v>
      </c>
      <c r="H6" s="16">
        <v>4.58</v>
      </c>
      <c r="I6" s="17">
        <v>2.72</v>
      </c>
      <c r="J6" s="4"/>
      <c r="K6" s="18"/>
      <c r="L6" s="18"/>
      <c r="M6" s="19">
        <f>VALUE(LEFT(E6,4))</f>
      </c>
      <c r="N6" s="2"/>
      <c r="O6" s="20">
        <f>ROUNDDOWN(100*PERCENTRANK($I$3:$I$41,I6),0)</f>
      </c>
      <c r="P6" s="21">
        <f>IF(AND(O6&gt;=$T$4,O6&lt;=$U$4),$S$4,"") &amp; IF(AND(O6&gt;=$T$5,O6&lt;=$U$5),$S$5,"")  &amp; IF(AND(O6&gt;=$T$6,O6&lt;=$U$6),$S$6,"")</f>
      </c>
      <c r="Q6" s="15">
        <f>VLOOKUP(P6,#REF!,2,0)</f>
      </c>
      <c r="R6" s="2"/>
      <c r="S6" s="22" t="s">
        <v>34</v>
      </c>
      <c r="T6" s="26">
        <v>0</v>
      </c>
      <c r="U6" s="25">
        <v>30</v>
      </c>
      <c r="V6" s="26">
        <f>U6-T6</f>
      </c>
      <c r="W6" s="26">
        <v>1</v>
      </c>
    </row>
    <row x14ac:dyDescent="0.25" r="7" customHeight="1" ht="18.75">
      <c r="A7" s="1" t="s">
        <v>28</v>
      </c>
      <c r="B7" s="1"/>
      <c r="C7" s="1" t="s">
        <v>35</v>
      </c>
      <c r="D7" s="2"/>
      <c r="E7" s="3" t="s">
        <v>35</v>
      </c>
      <c r="F7" s="16">
        <v>10.05</v>
      </c>
      <c r="G7" s="16">
        <v>15.2</v>
      </c>
      <c r="H7" s="16">
        <v>7.24</v>
      </c>
      <c r="I7" s="17">
        <v>4.63</v>
      </c>
      <c r="J7" s="4"/>
      <c r="K7" s="18"/>
      <c r="L7" s="18"/>
      <c r="M7" s="19">
        <f>VALUE(LEFT(E7,4))</f>
      </c>
      <c r="N7" s="2"/>
      <c r="O7" s="20">
        <f>ROUNDDOWN(100*PERCENTRANK($I$3:$I$41,I7),0)</f>
      </c>
      <c r="P7" s="21">
        <f>IF(AND(O7&gt;=$T$4,O7&lt;=$U$4),$S$4,"") &amp; IF(AND(O7&gt;=$T$5,O7&lt;=$U$5),$S$5,"")  &amp; IF(AND(O7&gt;=$T$6,O7&lt;=$U$6),$S$6,"")</f>
      </c>
      <c r="Q7" s="15">
        <f>VLOOKUP(P7,#REF!,2,0)</f>
      </c>
      <c r="R7" s="2"/>
      <c r="S7" s="2"/>
      <c r="T7" s="11"/>
      <c r="U7" s="11"/>
      <c r="V7" s="11"/>
      <c r="W7" s="11"/>
    </row>
    <row x14ac:dyDescent="0.25" r="8" customHeight="1" ht="18.75">
      <c r="A8" s="1" t="s">
        <v>28</v>
      </c>
      <c r="B8" s="1"/>
      <c r="C8" s="1" t="s">
        <v>36</v>
      </c>
      <c r="D8" s="2"/>
      <c r="E8" s="3" t="s">
        <v>36</v>
      </c>
      <c r="F8" s="16">
        <v>4.81</v>
      </c>
      <c r="G8" s="16">
        <v>13.5</v>
      </c>
      <c r="H8" s="16">
        <v>4.17</v>
      </c>
      <c r="I8" s="17">
        <v>3.66</v>
      </c>
      <c r="J8" s="4"/>
      <c r="K8" s="18"/>
      <c r="L8" s="18"/>
      <c r="M8" s="19">
        <f>VALUE(LEFT(E8,4))</f>
      </c>
      <c r="N8" s="2"/>
      <c r="O8" s="20">
        <f>ROUNDDOWN(100*PERCENTRANK($I$3:$I$41,I8),0)</f>
      </c>
      <c r="P8" s="21">
        <f>IF(AND(O8&gt;=$T$4,O8&lt;=$U$4),$S$4,"") &amp; IF(AND(O8&gt;=$T$5,O8&lt;=$U$5),$S$5,"")  &amp; IF(AND(O8&gt;=$T$6,O8&lt;=$U$6),$S$6,"")</f>
      </c>
      <c r="Q8" s="15">
        <f>VLOOKUP(P8,#REF!,2,0)</f>
      </c>
      <c r="R8" s="2"/>
      <c r="S8" s="2"/>
      <c r="T8" s="11"/>
      <c r="U8" s="11"/>
      <c r="V8" s="11"/>
      <c r="W8" s="11"/>
    </row>
    <row x14ac:dyDescent="0.25" r="9" customHeight="1" ht="18.75">
      <c r="A9" s="1" t="s">
        <v>28</v>
      </c>
      <c r="B9" s="1"/>
      <c r="C9" s="1" t="s">
        <v>37</v>
      </c>
      <c r="D9" s="2"/>
      <c r="E9" s="3" t="s">
        <v>37</v>
      </c>
      <c r="F9" s="16">
        <v>11.51</v>
      </c>
      <c r="G9" s="16">
        <v>8.9</v>
      </c>
      <c r="H9" s="16">
        <v>3.46</v>
      </c>
      <c r="I9" s="17">
        <v>3.38</v>
      </c>
      <c r="J9" s="4"/>
      <c r="K9" s="18"/>
      <c r="L9" s="18"/>
      <c r="M9" s="19">
        <f>VALUE(LEFT(E9,4))</f>
      </c>
      <c r="N9" s="2"/>
      <c r="O9" s="20">
        <f>ROUNDDOWN(100*PERCENTRANK($I$3:$I$41,I9),0)</f>
      </c>
      <c r="P9" s="21">
        <f>IF(AND(O9&gt;=$T$4,O9&lt;=$U$4),$S$4,"") &amp; IF(AND(O9&gt;=$T$5,O9&lt;=$U$5),$S$5,"")  &amp; IF(AND(O9&gt;=$T$6,O9&lt;=$U$6),$S$6,"")</f>
      </c>
      <c r="Q9" s="15">
        <f>VLOOKUP(P9,#REF!,2,0)</f>
      </c>
      <c r="R9" s="2"/>
      <c r="S9" s="2"/>
      <c r="T9" s="11"/>
      <c r="U9" s="11"/>
      <c r="V9" s="11"/>
      <c r="W9" s="11"/>
    </row>
    <row x14ac:dyDescent="0.25" r="10" customHeight="1" ht="18.75">
      <c r="A10" s="1" t="s">
        <v>28</v>
      </c>
      <c r="B10" s="1"/>
      <c r="C10" s="1" t="s">
        <v>38</v>
      </c>
      <c r="D10" s="2"/>
      <c r="E10" s="3" t="s">
        <v>38</v>
      </c>
      <c r="F10" s="16">
        <v>12.75</v>
      </c>
      <c r="G10" s="16">
        <v>11.7</v>
      </c>
      <c r="H10" s="16">
        <v>3.46</v>
      </c>
      <c r="I10" s="17">
        <v>3.95</v>
      </c>
      <c r="J10" s="4"/>
      <c r="K10" s="18"/>
      <c r="L10" s="18"/>
      <c r="M10" s="19">
        <f>VALUE(LEFT(E10,4))</f>
      </c>
      <c r="N10" s="2"/>
      <c r="O10" s="20">
        <f>ROUNDDOWN(100*PERCENTRANK($I$3:$I$41,I10),0)</f>
      </c>
      <c r="P10" s="21">
        <f>IF(AND(O10&gt;=$T$4,O10&lt;=$U$4),$S$4,"") &amp; IF(AND(O10&gt;=$T$5,O10&lt;=$U$5),$S$5,"")  &amp; IF(AND(O10&gt;=$T$6,O10&lt;=$U$6),$S$6,"")</f>
      </c>
      <c r="Q10" s="15">
        <f>VLOOKUP(P10,#REF!,2,0)</f>
      </c>
      <c r="R10" s="2"/>
      <c r="S10" s="2"/>
      <c r="T10" s="11"/>
      <c r="U10" s="11"/>
      <c r="V10" s="11"/>
      <c r="W10" s="11"/>
    </row>
    <row x14ac:dyDescent="0.25" r="11" customHeight="1" ht="18.75">
      <c r="A11" s="1" t="s">
        <v>28</v>
      </c>
      <c r="B11" s="1"/>
      <c r="C11" s="1" t="s">
        <v>39</v>
      </c>
      <c r="D11" s="2"/>
      <c r="E11" s="3" t="s">
        <v>39</v>
      </c>
      <c r="F11" s="16">
        <v>8.02</v>
      </c>
      <c r="G11" s="16">
        <v>11.2</v>
      </c>
      <c r="H11" s="16">
        <v>4.18</v>
      </c>
      <c r="I11" s="17">
        <v>4.53</v>
      </c>
      <c r="J11" s="4"/>
      <c r="K11" s="18"/>
      <c r="L11" s="18"/>
      <c r="M11" s="19">
        <f>VALUE(LEFT(E11,4))</f>
      </c>
      <c r="N11" s="2"/>
      <c r="O11" s="20">
        <f>ROUNDDOWN(100*PERCENTRANK($I$3:$I$41,I11),0)</f>
      </c>
      <c r="P11" s="21">
        <f>IF(AND(O11&gt;=$T$4,O11&lt;=$U$4),$S$4,"") &amp; IF(AND(O11&gt;=$T$5,O11&lt;=$U$5),$S$5,"")  &amp; IF(AND(O11&gt;=$T$6,O11&lt;=$U$6),$S$6,"")</f>
      </c>
      <c r="Q11" s="15">
        <f>VLOOKUP(P11,#REF!,2,0)</f>
      </c>
      <c r="R11" s="2"/>
      <c r="S11" s="2"/>
      <c r="T11" s="11"/>
      <c r="U11" s="11"/>
      <c r="V11" s="11"/>
      <c r="W11" s="11"/>
    </row>
    <row x14ac:dyDescent="0.25" r="12" customHeight="1" ht="18.75">
      <c r="A12" s="1" t="s">
        <v>28</v>
      </c>
      <c r="B12" s="1"/>
      <c r="C12" s="1" t="s">
        <v>40</v>
      </c>
      <c r="D12" s="2"/>
      <c r="E12" s="3" t="s">
        <v>40</v>
      </c>
      <c r="F12" s="16">
        <v>8.72</v>
      </c>
      <c r="G12" s="16">
        <v>4.2</v>
      </c>
      <c r="H12" s="16">
        <v>3.67</v>
      </c>
      <c r="I12" s="17">
        <v>3.73</v>
      </c>
      <c r="J12" s="4"/>
      <c r="K12" s="18"/>
      <c r="L12" s="18"/>
      <c r="M12" s="19">
        <f>VALUE(LEFT(E12,4))</f>
      </c>
      <c r="N12" s="2"/>
      <c r="O12" s="20">
        <f>ROUNDDOWN(100*PERCENTRANK($I$3:$I$41,I12),0)</f>
      </c>
      <c r="P12" s="21">
        <f>IF(AND(O12&gt;=$T$4,O12&lt;=$U$4),$S$4,"") &amp; IF(AND(O12&gt;=$T$5,O12&lt;=$U$5),$S$5,"")  &amp; IF(AND(O12&gt;=$T$6,O12&lt;=$U$6),$S$6,"")</f>
      </c>
      <c r="Q12" s="15">
        <f>VLOOKUP(P12,#REF!,2,0)</f>
      </c>
      <c r="R12" s="2"/>
      <c r="S12" s="2"/>
      <c r="T12" s="11"/>
      <c r="U12" s="11"/>
      <c r="V12" s="11"/>
      <c r="W12" s="11"/>
    </row>
    <row x14ac:dyDescent="0.25" r="13" customHeight="1" ht="18.75">
      <c r="A13" s="1" t="s">
        <v>28</v>
      </c>
      <c r="B13" s="1"/>
      <c r="C13" s="1" t="s">
        <v>41</v>
      </c>
      <c r="D13" s="2"/>
      <c r="E13" s="3" t="s">
        <v>41</v>
      </c>
      <c r="F13" s="16">
        <v>5.54</v>
      </c>
      <c r="G13" s="16">
        <v>3.89</v>
      </c>
      <c r="H13" s="16">
        <v>1.89</v>
      </c>
      <c r="I13" s="17">
        <v>3.23</v>
      </c>
      <c r="J13" s="4"/>
      <c r="K13" s="18"/>
      <c r="L13" s="18"/>
      <c r="M13" s="19">
        <f>VALUE(LEFT(E13,4))</f>
      </c>
      <c r="N13" s="2"/>
      <c r="O13" s="20">
        <f>ROUNDDOWN(100*PERCENTRANK($I$3:$I$41,I13),0)</f>
      </c>
      <c r="P13" s="21">
        <f>IF(AND(O13&gt;=$T$4,O13&lt;=$U$4),$S$4,"") &amp; IF(AND(O13&gt;=$T$5,O13&lt;=$U$5),$S$5,"")  &amp; IF(AND(O13&gt;=$T$6,O13&lt;=$U$6),$S$6,"")</f>
      </c>
      <c r="Q13" s="15">
        <f>VLOOKUP(P13,#REF!,2,0)</f>
      </c>
      <c r="R13" s="2"/>
      <c r="S13" s="2"/>
      <c r="T13" s="11"/>
      <c r="U13" s="11"/>
      <c r="V13" s="11"/>
      <c r="W13" s="11"/>
    </row>
    <row x14ac:dyDescent="0.25" r="14" customHeight="1" ht="18.75">
      <c r="A14" s="1" t="s">
        <v>28</v>
      </c>
      <c r="B14" s="1"/>
      <c r="C14" s="1" t="s">
        <v>42</v>
      </c>
      <c r="D14" s="2"/>
      <c r="E14" s="3" t="s">
        <v>42</v>
      </c>
      <c r="F14" s="16">
        <v>8.37</v>
      </c>
      <c r="G14" s="16">
        <v>10.2</v>
      </c>
      <c r="H14" s="16">
        <v>-0.11</v>
      </c>
      <c r="I14" s="17">
        <v>2.48</v>
      </c>
      <c r="J14" s="4"/>
      <c r="K14" s="18"/>
      <c r="L14" s="18"/>
      <c r="M14" s="19">
        <f>VALUE(LEFT(E14,4))</f>
      </c>
      <c r="N14" s="2"/>
      <c r="O14" s="20">
        <f>ROUNDDOWN(100*PERCENTRANK($I$3:$I$41,I14),0)</f>
      </c>
      <c r="P14" s="21">
        <f>IF(AND(O14&gt;=$T$4,O14&lt;=$U$4),$S$4,"") &amp; IF(AND(O14&gt;=$T$5,O14&lt;=$U$5),$S$5,"")  &amp; IF(AND(O14&gt;=$T$6,O14&lt;=$U$6),$S$6,"")</f>
      </c>
      <c r="Q14" s="15">
        <f>VLOOKUP(P14,#REF!,2,0)</f>
      </c>
      <c r="R14" s="2"/>
      <c r="S14" s="2"/>
      <c r="T14" s="11"/>
      <c r="U14" s="11"/>
      <c r="V14" s="11"/>
      <c r="W14" s="11"/>
    </row>
    <row x14ac:dyDescent="0.25" r="15" customHeight="1" ht="18.75">
      <c r="A15" s="1" t="s">
        <v>28</v>
      </c>
      <c r="B15" s="1"/>
      <c r="C15" s="1" t="s">
        <v>43</v>
      </c>
      <c r="D15" s="2"/>
      <c r="E15" s="3" t="s">
        <v>43</v>
      </c>
      <c r="F15" s="16">
        <v>8.31</v>
      </c>
      <c r="G15" s="16">
        <v>14.28</v>
      </c>
      <c r="H15" s="16">
        <v>3.52</v>
      </c>
      <c r="I15" s="17">
        <v>2.19</v>
      </c>
      <c r="J15" s="16">
        <v>1.39</v>
      </c>
      <c r="K15" s="18"/>
      <c r="L15" s="18"/>
      <c r="M15" s="19">
        <f>VALUE(LEFT(E15,4))</f>
      </c>
      <c r="N15" s="2"/>
      <c r="O15" s="20">
        <f>ROUNDDOWN(100*PERCENTRANK($I$3:$I$41,I15),0)</f>
      </c>
      <c r="P15" s="21">
        <f>IF(AND(O15&gt;=$T$4,O15&lt;=$U$4),$S$4,"") &amp; IF(AND(O15&gt;=$T$5,O15&lt;=$U$5),$S$5,"")  &amp; IF(AND(O15&gt;=$T$6,O15&lt;=$U$6),$S$6,"")</f>
      </c>
      <c r="Q15" s="15">
        <f>VLOOKUP(P15,#REF!,2,0)</f>
      </c>
      <c r="R15" s="2"/>
      <c r="S15" s="2"/>
      <c r="T15" s="11"/>
      <c r="U15" s="11"/>
      <c r="V15" s="11"/>
      <c r="W15" s="11"/>
    </row>
    <row x14ac:dyDescent="0.25" r="16" customHeight="1" ht="18.75">
      <c r="A16" s="1" t="s">
        <v>28</v>
      </c>
      <c r="B16" s="1"/>
      <c r="C16" s="1" t="s">
        <v>44</v>
      </c>
      <c r="D16" s="2"/>
      <c r="E16" s="3" t="s">
        <v>44</v>
      </c>
      <c r="F16" s="16">
        <v>6.82</v>
      </c>
      <c r="G16" s="16">
        <v>13.94</v>
      </c>
      <c r="H16" s="16">
        <v>2.75</v>
      </c>
      <c r="I16" s="17">
        <v>1.96</v>
      </c>
      <c r="J16" s="16">
        <v>-0.79</v>
      </c>
      <c r="K16" s="18"/>
      <c r="L16" s="18"/>
      <c r="M16" s="19">
        <f>VALUE(LEFT(E16,4))</f>
      </c>
      <c r="N16" s="2"/>
      <c r="O16" s="20">
        <f>ROUNDDOWN(100*PERCENTRANK($I$3:$I$41,I16),0)</f>
      </c>
      <c r="P16" s="21">
        <f>IF(AND(O16&gt;=$T$4,O16&lt;=$U$4),$S$4,"") &amp; IF(AND(O16&gt;=$T$5,O16&lt;=$U$5),$S$5,"")  &amp; IF(AND(O16&gt;=$T$6,O16&lt;=$U$6),$S$6,"")</f>
      </c>
      <c r="Q16" s="15">
        <f>VLOOKUP(P16,#REF!,2,0)</f>
      </c>
      <c r="R16" s="2"/>
      <c r="S16" s="2"/>
      <c r="T16" s="11"/>
      <c r="U16" s="11"/>
      <c r="V16" s="11"/>
      <c r="W16" s="11"/>
    </row>
    <row x14ac:dyDescent="0.25" r="17" customHeight="1" ht="18.75">
      <c r="A17" s="1" t="s">
        <v>28</v>
      </c>
      <c r="B17" s="1"/>
      <c r="C17" s="1" t="s">
        <v>45</v>
      </c>
      <c r="D17" s="2"/>
      <c r="E17" s="3" t="s">
        <v>45</v>
      </c>
      <c r="F17" s="16">
        <v>7.5</v>
      </c>
      <c r="G17" s="16">
        <v>13.1</v>
      </c>
      <c r="H17" s="16">
        <v>4.03</v>
      </c>
      <c r="I17" s="17">
        <v>3.17</v>
      </c>
      <c r="J17" s="16">
        <v>2.5</v>
      </c>
      <c r="K17" s="18"/>
      <c r="L17" s="18"/>
      <c r="M17" s="19">
        <f>VALUE(LEFT(E17,4))</f>
      </c>
      <c r="N17" s="2"/>
      <c r="O17" s="20">
        <f>ROUNDDOWN(100*PERCENTRANK($I$3:$I$41,I17),0)</f>
      </c>
      <c r="P17" s="21">
        <f>IF(AND(O17&gt;=$T$4,O17&lt;=$U$4),$S$4,"") &amp; IF(AND(O17&gt;=$T$5,O17&lt;=$U$5),$S$5,"")  &amp; IF(AND(O17&gt;=$T$6,O17&lt;=$U$6),$S$6,"")</f>
      </c>
      <c r="Q17" s="15">
        <f>VLOOKUP(P17,#REF!,2,0)</f>
      </c>
      <c r="R17" s="2"/>
      <c r="S17" s="2"/>
      <c r="T17" s="11"/>
      <c r="U17" s="11"/>
      <c r="V17" s="11"/>
      <c r="W17" s="11"/>
    </row>
    <row x14ac:dyDescent="0.25" r="18" customHeight="1" ht="18.75">
      <c r="A18" s="1" t="s">
        <v>28</v>
      </c>
      <c r="B18" s="1"/>
      <c r="C18" s="1" t="s">
        <v>46</v>
      </c>
      <c r="D18" s="2"/>
      <c r="E18" s="3" t="s">
        <v>46</v>
      </c>
      <c r="F18" s="16">
        <v>6.5</v>
      </c>
      <c r="G18" s="16">
        <v>11.02</v>
      </c>
      <c r="H18" s="16">
        <v>2.69</v>
      </c>
      <c r="I18" s="17">
        <v>3.31</v>
      </c>
      <c r="J18" s="16">
        <v>2.9</v>
      </c>
      <c r="K18" s="18"/>
      <c r="L18" s="18"/>
      <c r="M18" s="19">
        <f>VALUE(LEFT(E18,4))</f>
      </c>
      <c r="N18" s="2"/>
      <c r="O18" s="20">
        <f>ROUNDDOWN(100*PERCENTRANK($I$3:$I$41,I18),0)</f>
      </c>
      <c r="P18" s="21">
        <f>IF(AND(O18&gt;=$T$4,O18&lt;=$U$4),$S$4,"") &amp; IF(AND(O18&gt;=$T$5,O18&lt;=$U$5),$S$5,"")  &amp; IF(AND(O18&gt;=$T$6,O18&lt;=$U$6),$S$6,"")</f>
      </c>
      <c r="Q18" s="15">
        <f>VLOOKUP(P18,#REF!,2,0)</f>
      </c>
      <c r="R18" s="2"/>
      <c r="S18" s="2"/>
      <c r="T18" s="11"/>
      <c r="U18" s="11"/>
      <c r="V18" s="11"/>
      <c r="W18" s="11"/>
    </row>
    <row x14ac:dyDescent="0.25" r="19" customHeight="1" ht="18.75">
      <c r="A19" s="1" t="s">
        <v>28</v>
      </c>
      <c r="B19" s="1"/>
      <c r="C19" s="1" t="s">
        <v>47</v>
      </c>
      <c r="D19" s="2"/>
      <c r="E19" s="3" t="s">
        <v>47</v>
      </c>
      <c r="F19" s="16">
        <v>6.18</v>
      </c>
      <c r="G19" s="16">
        <v>9.97</v>
      </c>
      <c r="H19" s="16">
        <v>3.77</v>
      </c>
      <c r="I19" s="17">
        <v>3.87</v>
      </c>
      <c r="J19" s="16">
        <v>1.67</v>
      </c>
      <c r="K19" s="18"/>
      <c r="L19" s="18"/>
      <c r="M19" s="19">
        <f>VALUE(LEFT(E19,4))</f>
      </c>
      <c r="N19" s="2"/>
      <c r="O19" s="20">
        <f>ROUNDDOWN(100*PERCENTRANK($I$3:$I$41,I19),0)</f>
      </c>
      <c r="P19" s="21">
        <f>IF(AND(O19&gt;=$T$4,O19&lt;=$U$4),$S$4,"") &amp; IF(AND(O19&gt;=$T$5,O19&lt;=$U$5),$S$5,"")  &amp; IF(AND(O19&gt;=$T$6,O19&lt;=$U$6),$S$6,"")</f>
      </c>
      <c r="Q19" s="15">
        <f>VLOOKUP(P19,#REF!,2,0)</f>
      </c>
      <c r="R19" s="2"/>
      <c r="S19" s="2"/>
      <c r="T19" s="11"/>
      <c r="U19" s="11"/>
      <c r="V19" s="11"/>
      <c r="W19" s="11"/>
    </row>
    <row x14ac:dyDescent="0.25" r="20" customHeight="1" ht="18.75">
      <c r="A20" s="1" t="s">
        <v>28</v>
      </c>
      <c r="B20" s="1"/>
      <c r="C20" s="1" t="s">
        <v>48</v>
      </c>
      <c r="D20" s="2"/>
      <c r="E20" s="3" t="s">
        <v>48</v>
      </c>
      <c r="F20" s="16">
        <v>6.05</v>
      </c>
      <c r="G20" s="16">
        <v>9.32</v>
      </c>
      <c r="H20" s="16">
        <v>4.45</v>
      </c>
      <c r="I20" s="17">
        <v>4.03</v>
      </c>
      <c r="J20" s="16">
        <v>2.68</v>
      </c>
      <c r="K20" s="18"/>
      <c r="L20" s="18"/>
      <c r="M20" s="19">
        <f>VALUE(LEFT(E20,4))</f>
      </c>
      <c r="N20" s="2"/>
      <c r="O20" s="20">
        <f>ROUNDDOWN(100*PERCENTRANK($I$3:$I$41,I20),0)</f>
      </c>
      <c r="P20" s="21">
        <f>IF(AND(O20&gt;=$T$4,O20&lt;=$U$4),$S$4,"") &amp; IF(AND(O20&gt;=$T$5,O20&lt;=$U$5),$S$5,"")  &amp; IF(AND(O20&gt;=$T$6,O20&lt;=$U$6),$S$6,"")</f>
      </c>
      <c r="Q20" s="15">
        <f>VLOOKUP(P20,#REF!,2,0)</f>
      </c>
      <c r="R20" s="2"/>
      <c r="S20" s="2"/>
      <c r="T20" s="11"/>
      <c r="U20" s="11"/>
      <c r="V20" s="11"/>
      <c r="W20" s="11"/>
    </row>
    <row x14ac:dyDescent="0.25" r="21" customHeight="1" ht="18.75">
      <c r="A21" s="1" t="s">
        <v>28</v>
      </c>
      <c r="B21" s="1"/>
      <c r="C21" s="1" t="s">
        <v>49</v>
      </c>
      <c r="D21" s="2"/>
      <c r="E21" s="3" t="s">
        <v>49</v>
      </c>
      <c r="F21" s="16">
        <v>4.21</v>
      </c>
      <c r="G21" s="16">
        <v>7.93</v>
      </c>
      <c r="H21" s="16">
        <v>4.48</v>
      </c>
      <c r="I21" s="17">
        <v>2.66</v>
      </c>
      <c r="J21" s="16">
        <v>2.96</v>
      </c>
      <c r="K21" s="18"/>
      <c r="L21" s="18"/>
      <c r="M21" s="19">
        <f>VALUE(LEFT(E21,4))</f>
      </c>
      <c r="N21" s="2"/>
      <c r="O21" s="20">
        <f>ROUNDDOWN(100*PERCENTRANK($I$3:$I$41,I21),0)</f>
      </c>
      <c r="P21" s="21">
        <f>IF(AND(O21&gt;=$T$4,O21&lt;=$U$4),$S$4,"") &amp; IF(AND(O21&gt;=$T$5,O21&lt;=$U$5),$S$5,"")  &amp; IF(AND(O21&gt;=$T$6,O21&lt;=$U$6),$S$6,"")</f>
      </c>
      <c r="Q21" s="15">
        <f>VLOOKUP(P21,#REF!,2,0)</f>
      </c>
      <c r="R21" s="2"/>
      <c r="S21" s="2"/>
      <c r="T21" s="11"/>
      <c r="U21" s="11"/>
      <c r="V21" s="11"/>
      <c r="W21" s="11"/>
    </row>
    <row x14ac:dyDescent="0.25" r="22" customHeight="1" ht="18.75">
      <c r="A22" s="1" t="s">
        <v>28</v>
      </c>
      <c r="B22" s="1"/>
      <c r="C22" s="1" t="s">
        <v>50</v>
      </c>
      <c r="D22" s="2"/>
      <c r="E22" s="3" t="s">
        <v>50</v>
      </c>
      <c r="F22" s="16">
        <v>6.73</v>
      </c>
      <c r="G22" s="16">
        <v>7.76</v>
      </c>
      <c r="H22" s="16">
        <v>4.79</v>
      </c>
      <c r="I22" s="17">
        <v>3.59</v>
      </c>
      <c r="J22" s="16">
        <v>2.99</v>
      </c>
      <c r="K22" s="18"/>
      <c r="L22" s="18"/>
      <c r="M22" s="19">
        <f>VALUE(LEFT(E22,4))</f>
      </c>
      <c r="N22" s="2"/>
      <c r="O22" s="20">
        <f>ROUNDDOWN(100*PERCENTRANK($I$3:$I$41,I22),0)</f>
      </c>
      <c r="P22" s="21">
        <f>IF(AND(O22&gt;=$T$4,O22&lt;=$U$4),$S$4,"") &amp; IF(AND(O22&gt;=$T$5,O22&lt;=$U$5),$S$5,"")  &amp; IF(AND(O22&gt;=$T$6,O22&lt;=$U$6),$S$6,"")</f>
      </c>
      <c r="Q22" s="15">
        <f>VLOOKUP(P22,#REF!,2,0)</f>
      </c>
      <c r="R22" s="2"/>
      <c r="S22" s="2"/>
      <c r="T22" s="11"/>
      <c r="U22" s="11"/>
      <c r="V22" s="11"/>
      <c r="W22" s="11"/>
    </row>
    <row x14ac:dyDescent="0.25" r="23" customHeight="1" ht="18.75">
      <c r="A23" s="1" t="s">
        <v>28</v>
      </c>
      <c r="B23" s="1"/>
      <c r="C23" s="1" t="s">
        <v>51</v>
      </c>
      <c r="D23" s="2"/>
      <c r="E23" s="3" t="s">
        <v>51</v>
      </c>
      <c r="F23" s="16">
        <v>6.31</v>
      </c>
      <c r="G23" s="16">
        <v>8.57</v>
      </c>
      <c r="H23" s="16">
        <v>4.08</v>
      </c>
      <c r="I23" s="17">
        <v>4.78</v>
      </c>
      <c r="J23" s="16">
        <v>3.86</v>
      </c>
      <c r="K23" s="18"/>
      <c r="L23" s="18"/>
      <c r="M23" s="19">
        <f>VALUE(LEFT(E23,4))</f>
      </c>
      <c r="N23" s="2"/>
      <c r="O23" s="20">
        <f>ROUNDDOWN(100*PERCENTRANK($I$3:$I$41,I23),0)</f>
      </c>
      <c r="P23" s="21">
        <f>IF(AND(O23&gt;=$T$4,O23&lt;=$U$4),$S$4,"") &amp; IF(AND(O23&gt;=$T$5,O23&lt;=$U$5),$S$5,"")  &amp; IF(AND(O23&gt;=$T$6,O23&lt;=$U$6),$S$6,"")</f>
      </c>
      <c r="Q23" s="15">
        <f>VLOOKUP(P23,#REF!,2,0)</f>
      </c>
      <c r="R23" s="2"/>
      <c r="S23" s="2"/>
      <c r="T23" s="11"/>
      <c r="U23" s="11"/>
      <c r="V23" s="11"/>
      <c r="W23" s="11"/>
    </row>
    <row x14ac:dyDescent="0.25" r="24" customHeight="1" ht="18.75">
      <c r="A24" s="1" t="s">
        <v>28</v>
      </c>
      <c r="B24" s="1"/>
      <c r="C24" s="1" t="s">
        <v>52</v>
      </c>
      <c r="D24" s="2"/>
      <c r="E24" s="3" t="s">
        <v>52</v>
      </c>
      <c r="F24" s="16">
        <v>-1.4</v>
      </c>
      <c r="G24" s="16">
        <v>8.32</v>
      </c>
      <c r="H24" s="16">
        <v>0.96</v>
      </c>
      <c r="I24" s="17">
        <v>2.49</v>
      </c>
      <c r="J24" s="16">
        <v>2.16</v>
      </c>
      <c r="K24" s="18"/>
      <c r="L24" s="18"/>
      <c r="M24" s="19">
        <f>VALUE(LEFT(E24,4))</f>
      </c>
      <c r="N24" s="2"/>
      <c r="O24" s="20">
        <f>ROUNDDOWN(100*PERCENTRANK($I$3:$I$41,I24),0)</f>
      </c>
      <c r="P24" s="21">
        <f>IF(AND(O24&gt;=$T$4,O24&lt;=$U$4),$S$4,"") &amp; IF(AND(O24&gt;=$T$5,O24&lt;=$U$5),$S$5,"")  &amp; IF(AND(O24&gt;=$T$6,O24&lt;=$U$6),$S$6,"")</f>
      </c>
      <c r="Q24" s="15">
        <f>VLOOKUP(P24,#REF!,2,0)</f>
      </c>
      <c r="R24" s="2"/>
      <c r="S24" s="2"/>
      <c r="T24" s="11"/>
      <c r="U24" s="11"/>
      <c r="V24" s="11"/>
      <c r="W24" s="11"/>
    </row>
    <row x14ac:dyDescent="0.25" r="25" customHeight="1" ht="18.75">
      <c r="A25" s="1" t="s">
        <v>28</v>
      </c>
      <c r="B25" s="1"/>
      <c r="C25" s="1" t="s">
        <v>53</v>
      </c>
      <c r="D25" s="2"/>
      <c r="E25" s="3" t="s">
        <v>53</v>
      </c>
      <c r="F25" s="16">
        <v>5.48</v>
      </c>
      <c r="G25" s="16">
        <v>9.21</v>
      </c>
      <c r="H25" s="16">
        <v>1.7</v>
      </c>
      <c r="I25" s="17">
        <v>2.81</v>
      </c>
      <c r="J25" s="16">
        <v>0.91</v>
      </c>
      <c r="K25" s="18"/>
      <c r="L25" s="18"/>
      <c r="M25" s="19">
        <f>VALUE(LEFT(E25,4))</f>
      </c>
      <c r="N25" s="2"/>
      <c r="O25" s="20">
        <f>ROUNDDOWN(100*PERCENTRANK($I$3:$I$41,I25),0)</f>
      </c>
      <c r="P25" s="21">
        <f>IF(AND(O25&gt;=$T$4,O25&lt;=$U$4),$S$4,"") &amp; IF(AND(O25&gt;=$T$5,O25&lt;=$U$5),$S$5,"")  &amp; IF(AND(O25&gt;=$T$6,O25&lt;=$U$6),$S$6,"")</f>
      </c>
      <c r="Q25" s="15">
        <f>VLOOKUP(P25,#REF!,2,0)</f>
      </c>
      <c r="R25" s="2"/>
      <c r="S25" s="2"/>
      <c r="T25" s="11"/>
      <c r="U25" s="11"/>
      <c r="V25" s="11"/>
      <c r="W25" s="11"/>
    </row>
    <row x14ac:dyDescent="0.25" r="26" customHeight="1" ht="18.75">
      <c r="A26" s="1" t="s">
        <v>28</v>
      </c>
      <c r="B26" s="1"/>
      <c r="C26" s="1" t="s">
        <v>54</v>
      </c>
      <c r="D26" s="2"/>
      <c r="E26" s="3" t="s">
        <v>54</v>
      </c>
      <c r="F26" s="16">
        <v>4.23</v>
      </c>
      <c r="G26" s="16">
        <v>10.12</v>
      </c>
      <c r="H26" s="16">
        <v>2.8</v>
      </c>
      <c r="I26" s="17">
        <v>3.8</v>
      </c>
      <c r="J26" s="16">
        <v>0.72</v>
      </c>
      <c r="K26" s="18"/>
      <c r="L26" s="18"/>
      <c r="M26" s="19">
        <f>VALUE(LEFT(E26,4))</f>
      </c>
      <c r="N26" s="2"/>
      <c r="O26" s="20">
        <f>ROUNDDOWN(100*PERCENTRANK($I$3:$I$41,I26),0)</f>
      </c>
      <c r="P26" s="21">
        <f>IF(AND(O26&gt;=$T$4,O26&lt;=$U$4),$S$4,"") &amp; IF(AND(O26&gt;=$T$5,O26&lt;=$U$5),$S$5,"")  &amp; IF(AND(O26&gt;=$T$6,O26&lt;=$U$6),$S$6,"")</f>
      </c>
      <c r="Q26" s="15">
        <f>VLOOKUP(P26,#REF!,2,0)</f>
      </c>
      <c r="R26" s="2"/>
      <c r="S26" s="2"/>
      <c r="T26" s="11"/>
      <c r="U26" s="11"/>
      <c r="V26" s="11"/>
      <c r="W26" s="11"/>
    </row>
    <row x14ac:dyDescent="0.25" r="27" customHeight="1" ht="18.75">
      <c r="A27" s="1" t="s">
        <v>28</v>
      </c>
      <c r="B27" s="1"/>
      <c r="C27" s="1" t="s">
        <v>55</v>
      </c>
      <c r="D27" s="2"/>
      <c r="E27" s="3" t="s">
        <v>55</v>
      </c>
      <c r="F27" s="16">
        <v>6.95</v>
      </c>
      <c r="G27" s="16">
        <v>10.12</v>
      </c>
      <c r="H27" s="16">
        <v>3.85</v>
      </c>
      <c r="I27" s="17">
        <v>5.26</v>
      </c>
      <c r="J27" s="16">
        <v>2.3</v>
      </c>
      <c r="K27" s="18"/>
      <c r="L27" s="18"/>
      <c r="M27" s="19">
        <f>VALUE(LEFT(E27,4))</f>
      </c>
      <c r="N27" s="2"/>
      <c r="O27" s="20">
        <f>ROUNDDOWN(100*PERCENTRANK($I$3:$I$41,I27),0)</f>
      </c>
      <c r="P27" s="21">
        <f>IF(AND(O27&gt;=$T$4,O27&lt;=$U$4),$S$4,"") &amp; IF(AND(O27&gt;=$T$5,O27&lt;=$U$5),$S$5,"")  &amp; IF(AND(O27&gt;=$T$6,O27&lt;=$U$6),$S$6,"")</f>
      </c>
      <c r="Q27" s="15">
        <f>VLOOKUP(P27,#REF!,2,0)</f>
      </c>
      <c r="R27" s="2"/>
      <c r="S27" s="2"/>
      <c r="T27" s="11"/>
      <c r="U27" s="11"/>
      <c r="V27" s="11"/>
      <c r="W27" s="11"/>
    </row>
    <row x14ac:dyDescent="0.25" r="28" customHeight="1" ht="18.75">
      <c r="A28" s="1" t="s">
        <v>28</v>
      </c>
      <c r="B28" s="1"/>
      <c r="C28" s="1" t="s">
        <v>56</v>
      </c>
      <c r="D28" s="2"/>
      <c r="E28" s="3" t="s">
        <v>56</v>
      </c>
      <c r="F28" s="16">
        <v>5.38</v>
      </c>
      <c r="G28" s="16">
        <v>11.44</v>
      </c>
      <c r="H28" s="16">
        <v>3.48</v>
      </c>
      <c r="I28" s="17">
        <v>4.71</v>
      </c>
      <c r="J28" s="16">
        <v>1.75</v>
      </c>
      <c r="K28" s="18"/>
      <c r="L28" s="18"/>
      <c r="M28" s="19">
        <f>VALUE(LEFT(E28,4))</f>
      </c>
      <c r="N28" s="2"/>
      <c r="O28" s="20">
        <f>ROUNDDOWN(100*PERCENTRANK($I$3:$I$41,I28),0)</f>
      </c>
      <c r="P28" s="21">
        <f>IF(AND(O28&gt;=$T$4,O28&lt;=$U$4),$S$4,"") &amp; IF(AND(O28&gt;=$T$5,O28&lt;=$U$5),$S$5,"")  &amp; IF(AND(O28&gt;=$T$6,O28&lt;=$U$6),$S$6,"")</f>
      </c>
      <c r="Q28" s="15">
        <f>VLOOKUP(P28,#REF!,2,0)</f>
      </c>
      <c r="R28" s="2"/>
      <c r="S28" s="2"/>
      <c r="T28" s="11"/>
      <c r="U28" s="11"/>
      <c r="V28" s="11"/>
      <c r="W28" s="11"/>
    </row>
    <row x14ac:dyDescent="0.25" r="29" customHeight="1" ht="18.75">
      <c r="A29" s="1" t="s">
        <v>28</v>
      </c>
      <c r="B29" s="1"/>
      <c r="C29" s="1" t="s">
        <v>57</v>
      </c>
      <c r="D29" s="2"/>
      <c r="E29" s="3" t="s">
        <v>57</v>
      </c>
      <c r="F29" s="16">
        <v>5.77</v>
      </c>
      <c r="G29" s="16">
        <v>12.67</v>
      </c>
      <c r="H29" s="16">
        <v>2.79</v>
      </c>
      <c r="I29" s="17">
        <v>5.28</v>
      </c>
      <c r="J29" s="16">
        <v>3.31</v>
      </c>
      <c r="K29" s="18"/>
      <c r="L29" s="18"/>
      <c r="M29" s="19">
        <f>VALUE(LEFT(E29,4))</f>
      </c>
      <c r="N29" s="2"/>
      <c r="O29" s="20">
        <f>ROUNDDOWN(100*PERCENTRANK($I$3:$I$41,I29),0)</f>
      </c>
      <c r="P29" s="21">
        <f>IF(AND(O29&gt;=$T$4,O29&lt;=$U$4),$S$4,"") &amp; IF(AND(O29&gt;=$T$5,O29&lt;=$U$5),$S$5,"")  &amp; IF(AND(O29&gt;=$T$6,O29&lt;=$U$6),$S$6,"")</f>
      </c>
      <c r="Q29" s="15">
        <f>VLOOKUP(P29,#REF!,2,0)</f>
      </c>
      <c r="R29" s="2"/>
      <c r="S29" s="2"/>
      <c r="T29" s="11"/>
      <c r="U29" s="11"/>
      <c r="V29" s="11"/>
      <c r="W29" s="11"/>
    </row>
    <row x14ac:dyDescent="0.25" r="30" customHeight="1" ht="18.75">
      <c r="A30" s="1" t="s">
        <v>28</v>
      </c>
      <c r="B30" s="1"/>
      <c r="C30" s="1" t="s">
        <v>58</v>
      </c>
      <c r="D30" s="2"/>
      <c r="E30" s="3" t="s">
        <v>58</v>
      </c>
      <c r="F30" s="16">
        <v>6.85</v>
      </c>
      <c r="G30" s="16">
        <v>14.15</v>
      </c>
      <c r="H30" s="27">
        <v>2</v>
      </c>
      <c r="I30" s="17">
        <v>5.34</v>
      </c>
      <c r="J30" s="27">
        <v>3</v>
      </c>
      <c r="K30" s="18"/>
      <c r="L30" s="18"/>
      <c r="M30" s="19">
        <f>VALUE(LEFT(E30,4))</f>
      </c>
      <c r="N30" s="2"/>
      <c r="O30" s="20">
        <f>ROUNDDOWN(100*PERCENTRANK($I$3:$I$41,I30),0)</f>
      </c>
      <c r="P30" s="21">
        <f>IF(AND(O30&gt;=$T$4,O30&lt;=$U$4),$S$4,"") &amp; IF(AND(O30&gt;=$T$5,O30&lt;=$U$5),$S$5,"")  &amp; IF(AND(O30&gt;=$T$6,O30&lt;=$U$6),$S$6,"")</f>
      </c>
      <c r="Q30" s="15">
        <f>VLOOKUP(P30,#REF!,2,0)</f>
      </c>
      <c r="R30" s="2"/>
      <c r="S30" s="2"/>
      <c r="T30" s="11"/>
      <c r="U30" s="11"/>
      <c r="V30" s="11"/>
      <c r="W30" s="11"/>
    </row>
    <row x14ac:dyDescent="0.25" r="31" customHeight="1" ht="18.75">
      <c r="A31" s="1" t="s">
        <v>28</v>
      </c>
      <c r="B31" s="1"/>
      <c r="C31" s="1" t="s">
        <v>59</v>
      </c>
      <c r="D31" s="2"/>
      <c r="E31" s="3" t="s">
        <v>59</v>
      </c>
      <c r="F31" s="16">
        <v>0.8</v>
      </c>
      <c r="G31" s="16">
        <v>9.64</v>
      </c>
      <c r="H31" s="16">
        <v>0.11</v>
      </c>
      <c r="I31" s="17">
        <v>2.92</v>
      </c>
      <c r="J31" s="16">
        <v>0.42</v>
      </c>
      <c r="K31" s="18"/>
      <c r="L31" s="18"/>
      <c r="M31" s="19">
        <f>VALUE(LEFT(E31,4))</f>
      </c>
      <c r="N31" s="2"/>
      <c r="O31" s="20">
        <f>ROUNDDOWN(100*PERCENTRANK($I$3:$I$41,I31),0)</f>
      </c>
      <c r="P31" s="21">
        <f>IF(AND(O31&gt;=$T$4,O31&lt;=$U$4),$S$4,"") &amp; IF(AND(O31&gt;=$T$5,O31&lt;=$U$5),$S$5,"")  &amp; IF(AND(O31&gt;=$T$6,O31&lt;=$U$6),$S$6,"")</f>
      </c>
      <c r="Q31" s="15">
        <f>VLOOKUP(P31,#REF!,2,0)</f>
      </c>
      <c r="R31" s="2"/>
      <c r="S31" s="2"/>
      <c r="T31" s="11"/>
      <c r="U31" s="11"/>
      <c r="V31" s="11"/>
      <c r="W31" s="11"/>
    </row>
    <row x14ac:dyDescent="0.25" r="32" customHeight="1" ht="18.75">
      <c r="A32" s="1" t="s">
        <v>28</v>
      </c>
      <c r="B32" s="1"/>
      <c r="C32" s="1" t="s">
        <v>60</v>
      </c>
      <c r="D32" s="2"/>
      <c r="E32" s="3" t="s">
        <v>60</v>
      </c>
      <c r="F32" s="16">
        <v>-1.61</v>
      </c>
      <c r="G32" s="16">
        <v>9.45</v>
      </c>
      <c r="H32" s="16">
        <v>-2.58</v>
      </c>
      <c r="I32" s="17">
        <v>-0.36</v>
      </c>
      <c r="J32" s="16">
        <v>-4.46</v>
      </c>
      <c r="K32" s="18"/>
      <c r="L32" s="18"/>
      <c r="M32" s="19">
        <f>VALUE(LEFT(E32,4))</f>
      </c>
      <c r="N32" s="2"/>
      <c r="O32" s="20">
        <f>ROUNDDOWN(100*PERCENTRANK($I$3:$I$41,I32),0)</f>
      </c>
      <c r="P32" s="21">
        <f>IF(AND(O32&gt;=$T$4,O32&lt;=$U$4),$S$4,"") &amp; IF(AND(O32&gt;=$T$5,O32&lt;=$U$5),$S$5,"")  &amp; IF(AND(O32&gt;=$T$6,O32&lt;=$U$6),$S$6,"")</f>
      </c>
      <c r="Q32" s="15">
        <f>VLOOKUP(P32,#REF!,2,0)</f>
      </c>
      <c r="R32" s="2"/>
      <c r="S32" s="2"/>
      <c r="T32" s="11"/>
      <c r="U32" s="11"/>
      <c r="V32" s="11"/>
      <c r="W32" s="11"/>
    </row>
    <row x14ac:dyDescent="0.25" r="33" customHeight="1" ht="18.75">
      <c r="A33" s="1" t="s">
        <v>28</v>
      </c>
      <c r="B33" s="1"/>
      <c r="C33" s="1" t="s">
        <v>61</v>
      </c>
      <c r="D33" s="2"/>
      <c r="E33" s="3" t="s">
        <v>61</v>
      </c>
      <c r="F33" s="16">
        <v>10.25</v>
      </c>
      <c r="G33" s="16">
        <v>10.59</v>
      </c>
      <c r="H33" s="16">
        <v>2.7</v>
      </c>
      <c r="I33" s="17">
        <v>5.22</v>
      </c>
      <c r="J33" s="16">
        <v>2.08</v>
      </c>
      <c r="K33" s="18"/>
      <c r="L33" s="18"/>
      <c r="M33" s="19">
        <f>VALUE(LEFT(E33,4))</f>
      </c>
      <c r="N33" s="2"/>
      <c r="O33" s="20">
        <f>ROUNDDOWN(100*PERCENTRANK($I$3:$I$41,I33),0)</f>
      </c>
      <c r="P33" s="21">
        <f>IF(AND(O33&gt;=$T$4,O33&lt;=$U$4),$S$4,"") &amp; IF(AND(O33&gt;=$T$5,O33&lt;=$U$5),$S$5,"")  &amp; IF(AND(O33&gt;=$T$6,O33&lt;=$U$6),$S$6,"")</f>
      </c>
      <c r="Q33" s="15">
        <f>VLOOKUP(P33,#REF!,2,0)</f>
      </c>
      <c r="R33" s="2"/>
      <c r="S33" s="2"/>
      <c r="T33" s="11"/>
      <c r="U33" s="11"/>
      <c r="V33" s="11"/>
      <c r="W33" s="11"/>
    </row>
    <row x14ac:dyDescent="0.25" r="34" customHeight="1" ht="18.75">
      <c r="A34" s="1" t="s">
        <v>28</v>
      </c>
      <c r="B34" s="1"/>
      <c r="C34" s="1" t="s">
        <v>62</v>
      </c>
      <c r="D34" s="2"/>
      <c r="E34" s="3" t="s">
        <v>62</v>
      </c>
      <c r="F34" s="16">
        <v>3.67</v>
      </c>
      <c r="G34" s="16">
        <v>9.45</v>
      </c>
      <c r="H34" s="16">
        <v>1.56</v>
      </c>
      <c r="I34" s="17">
        <v>4.05</v>
      </c>
      <c r="J34" s="16">
        <v>1.73</v>
      </c>
      <c r="K34" s="18"/>
      <c r="L34" s="18"/>
      <c r="M34" s="19">
        <f>VALUE(LEFT(E34,4))</f>
      </c>
      <c r="N34" s="2"/>
      <c r="O34" s="20">
        <f>ROUNDDOWN(100*PERCENTRANK($I$3:$I$41,I34),0)</f>
      </c>
      <c r="P34" s="21">
        <f>IF(AND(O34&gt;=$T$4,O34&lt;=$U$4),$S$4,"") &amp; IF(AND(O34&gt;=$T$5,O34&lt;=$U$5),$S$5,"")  &amp; IF(AND(O34&gt;=$T$6,O34&lt;=$U$6),$S$6,"")</f>
      </c>
      <c r="Q34" s="15">
        <f>VLOOKUP(P34,#REF!,2,0)</f>
      </c>
      <c r="R34" s="2"/>
      <c r="S34" s="2"/>
      <c r="T34" s="11"/>
      <c r="U34" s="11"/>
      <c r="V34" s="11"/>
      <c r="W34" s="11"/>
    </row>
    <row x14ac:dyDescent="0.25" r="35" customHeight="1" ht="18.75">
      <c r="A35" s="1" t="s">
        <v>28</v>
      </c>
      <c r="B35" s="1"/>
      <c r="C35" s="1" t="s">
        <v>63</v>
      </c>
      <c r="D35" s="2"/>
      <c r="E35" s="3" t="s">
        <v>63</v>
      </c>
      <c r="F35" s="16">
        <v>2.22</v>
      </c>
      <c r="G35" s="16">
        <v>7.85</v>
      </c>
      <c r="H35" s="16">
        <v>2.29</v>
      </c>
      <c r="I35" s="17">
        <v>3.35</v>
      </c>
      <c r="J35" s="16">
        <v>-0.95</v>
      </c>
      <c r="K35" s="18"/>
      <c r="L35" s="18"/>
      <c r="M35" s="19">
        <f>VALUE(LEFT(E35,4))</f>
      </c>
      <c r="N35" s="2"/>
      <c r="O35" s="20">
        <f>ROUNDDOWN(100*PERCENTRANK($I$3:$I$41,I35),0)</f>
      </c>
      <c r="P35" s="21">
        <f>IF(AND(O35&gt;=$T$4,O35&lt;=$U$4),$S$4,"") &amp; IF(AND(O35&gt;=$T$5,O35&lt;=$U$5),$S$5,"")  &amp; IF(AND(O35&gt;=$T$6,O35&lt;=$U$6),$S$6,"")</f>
      </c>
      <c r="Q35" s="15">
        <f>VLOOKUP(P35,#REF!,2,0)</f>
      </c>
      <c r="R35" s="2"/>
      <c r="S35" s="2"/>
      <c r="T35" s="11"/>
      <c r="U35" s="11"/>
      <c r="V35" s="11"/>
      <c r="W35" s="11"/>
    </row>
    <row x14ac:dyDescent="0.25" r="36" customHeight="1" ht="18.75">
      <c r="A36" s="1" t="s">
        <v>28</v>
      </c>
      <c r="B36" s="1"/>
      <c r="C36" s="1" t="s">
        <v>64</v>
      </c>
      <c r="D36" s="2"/>
      <c r="E36" s="3" t="s">
        <v>64</v>
      </c>
      <c r="F36" s="16">
        <v>2.48</v>
      </c>
      <c r="G36" s="16">
        <v>7.77</v>
      </c>
      <c r="H36" s="16">
        <v>2.12</v>
      </c>
      <c r="I36" s="17">
        <v>3.37</v>
      </c>
      <c r="J36" s="16">
        <v>-0.18</v>
      </c>
      <c r="K36" s="18"/>
      <c r="L36" s="18"/>
      <c r="M36" s="19">
        <f>VALUE(LEFT(E36,4))</f>
      </c>
      <c r="N36" s="2"/>
      <c r="O36" s="20">
        <f>ROUNDDOWN(100*PERCENTRANK($I$3:$I$41,I36),0)</f>
      </c>
      <c r="P36" s="21">
        <f>IF(AND(O36&gt;=$T$4,O36&lt;=$U$4),$S$4,"") &amp; IF(AND(O36&gt;=$T$5,O36&lt;=$U$5),$S$5,"")  &amp; IF(AND(O36&gt;=$T$6,O36&lt;=$U$6),$S$6,"")</f>
      </c>
      <c r="Q36" s="15">
        <f>VLOOKUP(P36,#REF!,2,0)</f>
      </c>
      <c r="R36" s="2"/>
      <c r="S36" s="2"/>
      <c r="T36" s="11"/>
      <c r="U36" s="11"/>
      <c r="V36" s="11"/>
      <c r="W36" s="11"/>
    </row>
    <row x14ac:dyDescent="0.25" r="37" customHeight="1" ht="18.75">
      <c r="A37" s="1" t="s">
        <v>28</v>
      </c>
      <c r="B37" s="1"/>
      <c r="C37" s="1" t="s">
        <v>65</v>
      </c>
      <c r="D37" s="2"/>
      <c r="E37" s="3" t="s">
        <v>65</v>
      </c>
      <c r="F37" s="16">
        <v>4.72</v>
      </c>
      <c r="G37" s="16">
        <v>7.49</v>
      </c>
      <c r="H37" s="16">
        <v>2.52</v>
      </c>
      <c r="I37" s="17">
        <v>3.54</v>
      </c>
      <c r="J37" s="16">
        <v>1.44</v>
      </c>
      <c r="K37" s="18"/>
      <c r="L37" s="18"/>
      <c r="M37" s="19">
        <f>VALUE(LEFT(E37,4))</f>
      </c>
      <c r="N37" s="2"/>
      <c r="O37" s="20">
        <f>ROUNDDOWN(100*PERCENTRANK($I$3:$I$41,I37),0)</f>
      </c>
      <c r="P37" s="21">
        <f>IF(AND(O37&gt;=$T$4,O37&lt;=$U$4),$S$4,"") &amp; IF(AND(O37&gt;=$T$5,O37&lt;=$U$5),$S$5,"")  &amp; IF(AND(O37&gt;=$T$6,O37&lt;=$U$6),$S$6,"")</f>
      </c>
      <c r="Q37" s="15">
        <f>VLOOKUP(P37,#REF!,2,0)</f>
      </c>
      <c r="R37" s="2"/>
      <c r="S37" s="2"/>
      <c r="T37" s="11"/>
      <c r="U37" s="11"/>
      <c r="V37" s="11"/>
      <c r="W37" s="11"/>
    </row>
    <row x14ac:dyDescent="0.25" r="38" customHeight="1" ht="18.75">
      <c r="A38" s="1" t="s">
        <v>28</v>
      </c>
      <c r="B38" s="1"/>
      <c r="C38" s="1" t="s">
        <v>66</v>
      </c>
      <c r="D38" s="2"/>
      <c r="E38" s="3" t="s">
        <v>66</v>
      </c>
      <c r="F38" s="16">
        <v>1.47</v>
      </c>
      <c r="G38" s="16">
        <v>7.02</v>
      </c>
      <c r="H38" s="16">
        <v>2.95</v>
      </c>
      <c r="I38" s="17">
        <v>3.44</v>
      </c>
      <c r="J38" s="16">
        <v>2.11</v>
      </c>
      <c r="K38" s="18"/>
      <c r="L38" s="18"/>
      <c r="M38" s="19">
        <f>VALUE(LEFT(E38,4))</f>
      </c>
      <c r="N38" s="2"/>
      <c r="O38" s="20">
        <f>ROUNDDOWN(100*PERCENTRANK($I$3:$I$41,I38),0)</f>
      </c>
      <c r="P38" s="21">
        <f>IF(AND(O38&gt;=$T$4,O38&lt;=$U$4),$S$4,"") &amp; IF(AND(O38&gt;=$T$5,O38&lt;=$U$5),$S$5,"")  &amp; IF(AND(O38&gt;=$T$6,O38&lt;=$U$6),$S$6,"")</f>
      </c>
      <c r="Q38" s="15">
        <f>VLOOKUP(P38,#REF!,2,0)</f>
      </c>
      <c r="R38" s="2"/>
      <c r="S38" s="2"/>
      <c r="T38" s="11"/>
      <c r="U38" s="11"/>
      <c r="V38" s="11"/>
      <c r="W38" s="11"/>
    </row>
    <row x14ac:dyDescent="0.25" r="39" customHeight="1" ht="18.75">
      <c r="A39" s="1" t="s">
        <v>28</v>
      </c>
      <c r="B39" s="1"/>
      <c r="C39" s="1" t="s">
        <v>67</v>
      </c>
      <c r="D39" s="2"/>
      <c r="E39" s="3" t="s">
        <v>67</v>
      </c>
      <c r="F39" s="16">
        <v>2.17</v>
      </c>
      <c r="G39" s="16">
        <v>6.78</v>
      </c>
      <c r="H39" s="16">
        <v>1.82</v>
      </c>
      <c r="I39" s="17">
        <v>3.26</v>
      </c>
      <c r="J39" s="16">
        <v>1.82</v>
      </c>
      <c r="K39" s="18"/>
      <c r="L39" s="18"/>
      <c r="M39" s="19">
        <f>VALUE(LEFT(E39,4))</f>
      </c>
      <c r="N39" s="2"/>
      <c r="O39" s="20">
        <f>ROUNDDOWN(100*PERCENTRANK($I$3:$I$41,I39),0)</f>
      </c>
      <c r="P39" s="21">
        <f>IF(AND(O39&gt;=$T$4,O39&lt;=$U$4),$S$4,"") &amp; IF(AND(O39&gt;=$T$5,O39&lt;=$U$5),$S$5,"")  &amp; IF(AND(O39&gt;=$T$6,O39&lt;=$U$6),$S$6,"")</f>
      </c>
      <c r="Q39" s="15">
        <f>VLOOKUP(P39,#REF!,2,0)</f>
      </c>
      <c r="R39" s="2"/>
      <c r="S39" s="2"/>
      <c r="T39" s="11"/>
      <c r="U39" s="11"/>
      <c r="V39" s="11"/>
      <c r="W39" s="11"/>
    </row>
    <row x14ac:dyDescent="0.25" r="40" customHeight="1" ht="18.75">
      <c r="A40" s="1" t="s">
        <v>28</v>
      </c>
      <c r="B40" s="1"/>
      <c r="C40" s="1" t="s">
        <v>68</v>
      </c>
      <c r="D40" s="2"/>
      <c r="E40" s="3" t="s">
        <v>68</v>
      </c>
      <c r="F40" s="16">
        <v>3.66</v>
      </c>
      <c r="G40" s="16">
        <v>6.89</v>
      </c>
      <c r="H40" s="16">
        <v>2.46</v>
      </c>
      <c r="I40" s="17">
        <v>3.84</v>
      </c>
      <c r="J40" s="16">
        <v>2.6</v>
      </c>
      <c r="K40" s="18"/>
      <c r="L40" s="18"/>
      <c r="M40" s="19">
        <f>VALUE(LEFT(E40,4))</f>
      </c>
      <c r="N40" s="2"/>
      <c r="O40" s="20">
        <f>ROUNDDOWN(100*PERCENTRANK($I$3:$I$41,I40),0)</f>
      </c>
      <c r="P40" s="21">
        <f>IF(AND(O40&gt;=$T$4,O40&lt;=$U$4),$S$4,"") &amp; IF(AND(O40&gt;=$T$5,O40&lt;=$U$5),$S$5,"")  &amp; IF(AND(O40&gt;=$T$6,O40&lt;=$U$6),$S$6,"")</f>
      </c>
      <c r="Q40" s="15">
        <f>VLOOKUP(P40,#REF!,2,0)</f>
      </c>
      <c r="R40" s="2"/>
      <c r="S40" s="2"/>
      <c r="T40" s="11"/>
      <c r="U40" s="11"/>
      <c r="V40" s="11"/>
      <c r="W40" s="11"/>
    </row>
    <row x14ac:dyDescent="0.25" r="41" customHeight="1" ht="18.75">
      <c r="A41" s="1" t="s">
        <v>28</v>
      </c>
      <c r="B41" s="1"/>
      <c r="C41" s="1" t="s">
        <v>69</v>
      </c>
      <c r="D41" s="2"/>
      <c r="E41" s="3" t="s">
        <v>69</v>
      </c>
      <c r="F41" s="16">
        <v>2.91</v>
      </c>
      <c r="G41" s="16">
        <v>6.76</v>
      </c>
      <c r="H41" s="16">
        <v>2.97</v>
      </c>
      <c r="I41" s="17">
        <v>3.65</v>
      </c>
      <c r="J41" s="16">
        <v>1.77</v>
      </c>
      <c r="K41" s="18"/>
      <c r="L41" s="18"/>
      <c r="M41" s="19">
        <f>VALUE(LEFT(E41,4))</f>
      </c>
      <c r="N41" s="2"/>
      <c r="O41" s="20">
        <f>ROUNDDOWN(100*PERCENTRANK($I$3:$I$41,I41),0)</f>
      </c>
      <c r="P41" s="21">
        <f>IF(AND(O41&gt;=$T$4,O41&lt;=$U$4),$S$4,"") &amp; IF(AND(O41&gt;=$T$5,O41&lt;=$U$5),$S$5,"")  &amp; IF(AND(O41&gt;=$T$6,O41&lt;=$U$6),$S$6,"")</f>
      </c>
      <c r="Q41" s="15">
        <f>VLOOKUP(P41,#REF!,2,0)</f>
      </c>
      <c r="R41" s="2"/>
      <c r="S41" s="2"/>
      <c r="T41" s="11"/>
      <c r="U41" s="11"/>
      <c r="V41" s="11"/>
      <c r="W41" s="11"/>
    </row>
    <row x14ac:dyDescent="0.25" r="42" customHeight="1" ht="18.75">
      <c r="A42" s="1" t="s">
        <v>28</v>
      </c>
      <c r="B42" s="1"/>
      <c r="C42" s="1" t="s">
        <v>70</v>
      </c>
      <c r="D42" s="2"/>
      <c r="E42" s="3" t="s">
        <v>70</v>
      </c>
      <c r="F42" s="16">
        <v>3.06</v>
      </c>
      <c r="G42" s="16">
        <v>6.07</v>
      </c>
      <c r="H42" s="16">
        <v>2.58</v>
      </c>
      <c r="I42" s="17">
        <v>2.95</v>
      </c>
      <c r="J42" s="16">
        <v>1.63</v>
      </c>
      <c r="K42" s="18"/>
      <c r="L42" s="18"/>
      <c r="M42" s="19">
        <f>VALUE(LEFT(E42,4))</f>
      </c>
      <c r="N42" s="2"/>
      <c r="O42" s="20">
        <f>ROUNDDOWN(100*PERCENTRANK($I$3:$I$41,I42),0)</f>
      </c>
      <c r="P42" s="21">
        <f>IF(AND(O42&gt;=$T$4,O42&lt;=$U$4),$S$4,"") &amp; IF(AND(O42&gt;=$T$5,O42&lt;=$U$5),$S$5,"")  &amp; IF(AND(O42&gt;=$T$6,O42&lt;=$U$6),$S$6,"")</f>
      </c>
      <c r="Q42" s="15">
        <f>VLOOKUP(P42,#REF!,2,0)</f>
      </c>
      <c r="R42" s="2"/>
      <c r="S42" s="2"/>
      <c r="T42" s="11"/>
      <c r="U42" s="11"/>
      <c r="V42" s="11"/>
      <c r="W42" s="11"/>
    </row>
    <row x14ac:dyDescent="0.25" r="43" customHeight="1" ht="18.75">
      <c r="A43" s="1" t="s">
        <v>28</v>
      </c>
      <c r="B43" s="1"/>
      <c r="C43" s="1" t="s">
        <v>71</v>
      </c>
      <c r="D43" s="2"/>
      <c r="E43" s="3" t="s">
        <v>71</v>
      </c>
      <c r="F43" s="16">
        <v>3.42</v>
      </c>
      <c r="G43" s="16">
        <v>2.34</v>
      </c>
      <c r="H43" s="16">
        <v>-2.16</v>
      </c>
      <c r="I43" s="17">
        <v>-2.67</v>
      </c>
      <c r="J43" s="16">
        <v>-6.02</v>
      </c>
      <c r="K43" s="18"/>
      <c r="L43" s="18"/>
      <c r="M43" s="19">
        <f>VALUE(LEFT(E43,4))</f>
      </c>
      <c r="N43" s="2"/>
      <c r="O43" s="20">
        <f>ROUNDDOWN(100*PERCENTRANK($I$3:$I$45,I43),0)</f>
      </c>
      <c r="P43" s="21">
        <f>IF(AND(O43&gt;=$T$4,O43&lt;=$U$4),$S$4,"") &amp; IF(AND(O43&gt;=$T$5,O43&lt;=$U$5),$S$5,"")  &amp; IF(AND(O43&gt;=$T$6,O43&lt;=$U$6),$S$6,"")</f>
      </c>
      <c r="Q43" s="15">
        <f>VLOOKUP(P43,#REF!,2,0)</f>
      </c>
      <c r="R43" s="2"/>
      <c r="S43" s="2"/>
      <c r="T43" s="11"/>
      <c r="U43" s="11"/>
      <c r="V43" s="11"/>
      <c r="W43" s="11"/>
    </row>
    <row x14ac:dyDescent="0.25" r="44" customHeight="1" ht="18.75">
      <c r="A44" s="1" t="s">
        <v>28</v>
      </c>
      <c r="B44" s="1"/>
      <c r="C44" s="1" t="s">
        <v>72</v>
      </c>
      <c r="D44" s="2"/>
      <c r="E44" s="3" t="s">
        <v>72</v>
      </c>
      <c r="F44" s="16">
        <v>6.72</v>
      </c>
      <c r="G44" s="16">
        <v>8.56</v>
      </c>
      <c r="H44" s="16">
        <v>6.06</v>
      </c>
      <c r="I44" s="17">
        <v>6.61</v>
      </c>
      <c r="J44" s="16">
        <v>6.33</v>
      </c>
      <c r="K44" s="18"/>
      <c r="L44" s="18"/>
      <c r="M44" s="19">
        <f>VALUE(LEFT(E44,4))</f>
      </c>
      <c r="N44" s="2"/>
      <c r="O44" s="20">
        <f>ROUNDDOWN(100*PERCENTRANK($I$3:$I$45,I44),0)</f>
      </c>
      <c r="P44" s="21">
        <f>IF(AND(O44&gt;=$T$4,O44&lt;=$U$4),$S$4,"") &amp; IF(AND(O44&gt;=$T$5,O44&lt;=$U$5),$S$5,"")  &amp; IF(AND(O44&gt;=$T$6,O44&lt;=$U$6),$S$6,"")</f>
      </c>
      <c r="Q44" s="15">
        <f>VLOOKUP(P44,#REF!,2,0)</f>
      </c>
      <c r="R44" s="2"/>
      <c r="S44" s="2"/>
      <c r="T44" s="11"/>
      <c r="U44" s="11"/>
      <c r="V44" s="11"/>
      <c r="W44" s="11"/>
    </row>
    <row x14ac:dyDescent="0.25" r="45" customHeight="1" ht="18.75">
      <c r="A45" s="1" t="s">
        <v>28</v>
      </c>
      <c r="B45" s="1"/>
      <c r="C45" s="1" t="s">
        <v>73</v>
      </c>
      <c r="D45" s="2"/>
      <c r="E45" s="3" t="s">
        <v>73</v>
      </c>
      <c r="F45" s="16">
        <v>2.68</v>
      </c>
      <c r="G45" s="16">
        <v>3.11</v>
      </c>
      <c r="H45" s="16">
        <v>2.51</v>
      </c>
      <c r="I45" s="17">
        <v>3.65</v>
      </c>
      <c r="J45" s="16">
        <v>3.53</v>
      </c>
      <c r="K45" s="18"/>
      <c r="L45" s="18"/>
      <c r="M45" s="19">
        <f>VALUE(LEFT(E45,4))</f>
      </c>
      <c r="N45" s="2"/>
      <c r="O45" s="20">
        <f>ROUNDDOWN(100*PERCENTRANK($I$3:$I$45,I45),0)</f>
      </c>
      <c r="P45" s="21">
        <f>IF(AND(O45&gt;=$T$4,O45&lt;=$U$4),$S$4,"") &amp; IF(AND(O45&gt;=$T$5,O45&lt;=$U$5),$S$5,"")  &amp; IF(AND(O45&gt;=$T$6,O45&lt;=$U$6),$S$6,"")</f>
      </c>
      <c r="Q45" s="15">
        <f>VLOOKUP(P45,#REF!,2,0)</f>
      </c>
      <c r="R45" s="2"/>
      <c r="S45" s="2"/>
      <c r="T45" s="11"/>
      <c r="U45" s="11"/>
      <c r="V45" s="11"/>
      <c r="W45" s="11"/>
    </row>
    <row x14ac:dyDescent="0.25" r="46" customHeight="1" ht="18.75">
      <c r="A46" s="1" t="s">
        <v>28</v>
      </c>
      <c r="B46" s="1"/>
      <c r="C46" s="1" t="s">
        <v>74</v>
      </c>
      <c r="D46" s="2"/>
      <c r="E46" s="3" t="s">
        <v>74</v>
      </c>
      <c r="F46" s="16">
        <v>1.12</v>
      </c>
      <c r="G46" s="16">
        <v>5.38</v>
      </c>
      <c r="H46" s="16">
        <v>2.89</v>
      </c>
      <c r="I46" s="17">
        <v>3.49</v>
      </c>
      <c r="J46" s="16">
        <v>0.4</v>
      </c>
      <c r="K46" s="18"/>
      <c r="L46" s="18"/>
      <c r="M46" s="19">
        <f>VALUE(LEFT(E46,4))</f>
      </c>
      <c r="N46" s="2"/>
      <c r="O46" s="20">
        <f>ROUNDDOWN(100*PERCENTRANK($I$3:$I$45,I46),0)</f>
      </c>
      <c r="P46" s="21">
        <f>IF(AND(O46&gt;=$T$4,O46&lt;=$U$4),$S$4,"") &amp; IF(AND(O46&gt;=$T$5,O46&lt;=$U$5),$S$5,"")  &amp; IF(AND(O46&gt;=$T$6,O46&lt;=$U$6),$S$6,"")</f>
      </c>
      <c r="Q46" s="28"/>
      <c r="R46" s="2"/>
      <c r="S46" s="2"/>
      <c r="T46" s="11"/>
      <c r="U46" s="11"/>
      <c r="V46" s="11"/>
      <c r="W46" s="11"/>
    </row>
    <row x14ac:dyDescent="0.25" r="47" customHeight="1" ht="18.75">
      <c r="A47" s="1" t="s">
        <v>28</v>
      </c>
      <c r="B47" s="1"/>
      <c r="C47" s="1" t="s">
        <v>75</v>
      </c>
      <c r="D47" s="2"/>
      <c r="E47" s="3" t="s">
        <v>75</v>
      </c>
      <c r="F47" s="16">
        <v>4.3</v>
      </c>
      <c r="G47" s="27">
        <v>5</v>
      </c>
      <c r="H47" s="16">
        <v>2.8</v>
      </c>
      <c r="I47" s="17">
        <v>3.29</v>
      </c>
      <c r="J47" s="16">
        <v>0.86</v>
      </c>
      <c r="K47" s="18"/>
      <c r="L47" s="18"/>
      <c r="M47" s="19">
        <f>VALUE(LEFT(E47,4))</f>
      </c>
      <c r="N47" s="2"/>
      <c r="O47" s="20">
        <f>ROUNDDOWN(100*PERCENTRANK($I$3:$I$45,I47),0)</f>
      </c>
      <c r="P47" s="21">
        <f>IF(AND(O47&gt;=$T$4,O47&lt;=$U$4),$S$4,"") &amp; IF(AND(O47&gt;=$T$5,O47&lt;=$U$5),$S$5,"")  &amp; IF(AND(O47&gt;=$T$6,O47&lt;=$U$6),$S$6,"")</f>
      </c>
      <c r="Q47" s="28"/>
      <c r="R47" s="2"/>
      <c r="S47" s="2"/>
      <c r="T47" s="11"/>
      <c r="U47" s="11"/>
      <c r="V47" s="11"/>
      <c r="W47" s="11"/>
    </row>
    <row x14ac:dyDescent="0.25" r="48" customHeight="1" ht="18.75">
      <c r="A48" s="1" t="s">
        <v>28</v>
      </c>
      <c r="B48" s="1"/>
      <c r="C48" s="1" t="s">
        <v>76</v>
      </c>
      <c r="D48" s="2"/>
      <c r="E48" s="3" t="s">
        <v>76</v>
      </c>
      <c r="F48" s="16">
        <v>2.85</v>
      </c>
      <c r="G48" s="16">
        <v>3.95</v>
      </c>
      <c r="H48" s="16">
        <v>1.83</v>
      </c>
      <c r="I48" s="17">
        <v>2.79</v>
      </c>
      <c r="J48" s="16">
        <v>0.81</v>
      </c>
      <c r="K48" s="18"/>
      <c r="L48" s="18"/>
      <c r="M48" s="7"/>
      <c r="N48" s="2"/>
      <c r="O48" s="8"/>
      <c r="P48" s="29"/>
      <c r="Q48" s="28"/>
      <c r="R48" s="2"/>
      <c r="S48" s="2"/>
      <c r="T48" s="11"/>
      <c r="U48" s="11"/>
      <c r="V48" s="11"/>
      <c r="W48" s="11"/>
    </row>
    <row x14ac:dyDescent="0.25" r="49" customHeight="1" ht="18.75">
      <c r="A49" s="1" t="s">
        <v>28</v>
      </c>
      <c r="B49" s="1"/>
      <c r="C49" s="1" t="s">
        <v>77</v>
      </c>
      <c r="D49" s="2"/>
      <c r="E49" s="3" t="s">
        <v>77</v>
      </c>
      <c r="F49" s="16">
        <v>2.5</v>
      </c>
      <c r="G49" s="16">
        <v>3.96</v>
      </c>
      <c r="H49" s="16">
        <v>1.74</v>
      </c>
      <c r="I49" s="17">
        <v>2.96</v>
      </c>
      <c r="J49" s="16">
        <v>1.19</v>
      </c>
      <c r="K49" s="18"/>
      <c r="L49" s="18"/>
      <c r="M49" s="7"/>
      <c r="N49" s="2"/>
      <c r="O49" s="8"/>
      <c r="P49" s="29"/>
      <c r="Q49" s="28"/>
      <c r="R49" s="2"/>
      <c r="S49" s="2"/>
      <c r="T49" s="11"/>
      <c r="U49" s="11"/>
      <c r="V49" s="11"/>
      <c r="W49" s="11"/>
    </row>
    <row x14ac:dyDescent="0.25" r="50" customHeight="1" ht="18.75">
      <c r="A50" s="1"/>
      <c r="B50" s="1"/>
      <c r="C50" s="1"/>
      <c r="D50" s="2"/>
      <c r="E50" s="2"/>
      <c r="F50" s="30"/>
      <c r="G50" s="30"/>
      <c r="H50" s="30"/>
      <c r="I50" s="30"/>
      <c r="J50" s="30"/>
      <c r="K50" s="18"/>
      <c r="L50" s="18"/>
      <c r="M50" s="11"/>
      <c r="N50" s="2"/>
      <c r="O50" s="11"/>
      <c r="P50" s="2"/>
      <c r="Q50" s="30"/>
      <c r="R50" s="2"/>
      <c r="S50" s="2"/>
      <c r="T50" s="11"/>
      <c r="U50" s="11"/>
      <c r="V50" s="11"/>
      <c r="W50" s="11"/>
    </row>
    <row x14ac:dyDescent="0.25" r="51" customHeight="1" ht="18.75">
      <c r="A51" s="1"/>
      <c r="B51" s="1"/>
      <c r="C51" s="1"/>
      <c r="D51" s="2"/>
      <c r="E51" s="2"/>
      <c r="F51" s="30"/>
      <c r="G51" s="30"/>
      <c r="H51" s="30"/>
      <c r="I51" s="30"/>
      <c r="J51" s="30"/>
      <c r="K51" s="18"/>
      <c r="L51" s="18"/>
      <c r="M51" s="11"/>
      <c r="N51" s="2"/>
      <c r="O51" s="11"/>
      <c r="P51" s="2"/>
      <c r="Q51" s="30"/>
      <c r="R51" s="2"/>
      <c r="S51" s="2"/>
      <c r="T51" s="11"/>
      <c r="U51" s="11"/>
      <c r="V51" s="11"/>
      <c r="W51" s="11"/>
    </row>
    <row x14ac:dyDescent="0.25" r="52" customHeight="1" ht="18.75">
      <c r="A52" s="1"/>
      <c r="B52" s="1"/>
      <c r="C52" s="1"/>
      <c r="D52" s="2"/>
      <c r="E52" s="2"/>
      <c r="F52" s="30"/>
      <c r="G52" s="30"/>
      <c r="H52" s="30"/>
      <c r="I52" s="30"/>
      <c r="J52" s="30"/>
      <c r="K52" s="18"/>
      <c r="L52" s="18"/>
      <c r="M52" s="11"/>
      <c r="N52" s="2"/>
      <c r="O52" s="11"/>
      <c r="P52" s="2"/>
      <c r="Q52" s="30"/>
      <c r="R52" s="2"/>
      <c r="S52" s="2"/>
      <c r="T52" s="11"/>
      <c r="U52" s="11"/>
      <c r="V52" s="11"/>
      <c r="W52" s="11"/>
    </row>
    <row x14ac:dyDescent="0.25" r="53" customHeight="1" ht="18.75">
      <c r="A53" s="1"/>
      <c r="B53" s="1"/>
      <c r="C53" s="1"/>
      <c r="D53" s="2"/>
      <c r="E53" s="2"/>
      <c r="F53" s="30"/>
      <c r="G53" s="30"/>
      <c r="H53" s="30"/>
      <c r="I53" s="30"/>
      <c r="J53" s="30"/>
      <c r="K53" s="18"/>
      <c r="L53" s="18"/>
      <c r="M53" s="11"/>
      <c r="N53" s="2"/>
      <c r="O53" s="11"/>
      <c r="P53" s="2"/>
      <c r="Q53" s="30"/>
      <c r="R53" s="2"/>
      <c r="S53" s="2"/>
      <c r="T53" s="11"/>
      <c r="U53" s="11"/>
      <c r="V53" s="11"/>
      <c r="W53" s="11"/>
    </row>
    <row x14ac:dyDescent="0.25" r="54" customHeight="1" ht="18.75">
      <c r="A54" s="1"/>
      <c r="B54" s="1"/>
      <c r="C54" s="1"/>
      <c r="D54" s="2"/>
      <c r="E54" s="2"/>
      <c r="F54" s="30"/>
      <c r="G54" s="30"/>
      <c r="H54" s="30"/>
      <c r="I54" s="30"/>
      <c r="J54" s="30"/>
      <c r="K54" s="18"/>
      <c r="L54" s="18"/>
      <c r="M54" s="11"/>
      <c r="N54" s="2"/>
      <c r="O54" s="11"/>
      <c r="P54" s="2"/>
      <c r="Q54" s="30"/>
      <c r="R54" s="2"/>
      <c r="S54" s="2"/>
      <c r="T54" s="11"/>
      <c r="U54" s="11"/>
      <c r="V54" s="11"/>
      <c r="W54" s="11"/>
    </row>
    <row x14ac:dyDescent="0.25" r="55" customHeight="1" ht="18.75">
      <c r="A55" s="1"/>
      <c r="B55" s="1"/>
      <c r="C55" s="1"/>
      <c r="D55" s="2"/>
      <c r="E55" s="2"/>
      <c r="F55" s="30"/>
      <c r="G55" s="30"/>
      <c r="H55" s="30"/>
      <c r="I55" s="30"/>
      <c r="J55" s="30"/>
      <c r="K55" s="18"/>
      <c r="L55" s="18"/>
      <c r="M55" s="11"/>
      <c r="N55" s="2"/>
      <c r="O55" s="11"/>
      <c r="P55" s="2"/>
      <c r="Q55" s="30"/>
      <c r="R55" s="2"/>
      <c r="S55" s="2"/>
      <c r="T55" s="11"/>
      <c r="U55" s="11"/>
      <c r="V55" s="11"/>
      <c r="W55" s="11"/>
    </row>
    <row x14ac:dyDescent="0.25" r="56" customHeight="1" ht="18.75">
      <c r="A56" s="1"/>
      <c r="B56" s="1"/>
      <c r="C56" s="1"/>
      <c r="D56" s="2"/>
      <c r="E56" s="2"/>
      <c r="F56" s="30"/>
      <c r="G56" s="30"/>
      <c r="H56" s="30"/>
      <c r="I56" s="30"/>
      <c r="J56" s="30"/>
      <c r="K56" s="18"/>
      <c r="L56" s="18"/>
      <c r="M56" s="11"/>
      <c r="N56" s="2"/>
      <c r="O56" s="11"/>
      <c r="P56" s="2"/>
      <c r="Q56" s="30"/>
      <c r="R56" s="2"/>
      <c r="S56" s="2"/>
      <c r="T56" s="11"/>
      <c r="U56" s="11"/>
      <c r="V56" s="11"/>
      <c r="W56" s="11"/>
    </row>
    <row x14ac:dyDescent="0.25" r="57" customHeight="1" ht="18.75">
      <c r="A57" s="1"/>
      <c r="B57" s="1"/>
      <c r="C57" s="1"/>
      <c r="D57" s="2"/>
      <c r="E57" s="2"/>
      <c r="F57" s="30"/>
      <c r="G57" s="30"/>
      <c r="H57" s="30"/>
      <c r="I57" s="30"/>
      <c r="J57" s="30"/>
      <c r="K57" s="18"/>
      <c r="L57" s="18"/>
      <c r="M57" s="11"/>
      <c r="N57" s="2"/>
      <c r="O57" s="11"/>
      <c r="P57" s="2"/>
      <c r="Q57" s="30"/>
      <c r="R57" s="2"/>
      <c r="S57" s="2"/>
      <c r="T57" s="11"/>
      <c r="U57" s="11"/>
      <c r="V57" s="11"/>
      <c r="W57" s="11"/>
    </row>
    <row x14ac:dyDescent="0.25" r="58" customHeight="1" ht="18.75">
      <c r="A58" s="1"/>
      <c r="B58" s="1"/>
      <c r="C58" s="1"/>
      <c r="D58" s="2"/>
      <c r="E58" s="2"/>
      <c r="F58" s="30"/>
      <c r="G58" s="30"/>
      <c r="H58" s="30"/>
      <c r="I58" s="30"/>
      <c r="J58" s="30"/>
      <c r="K58" s="18"/>
      <c r="L58" s="18"/>
      <c r="M58" s="11"/>
      <c r="N58" s="2"/>
      <c r="O58" s="11"/>
      <c r="P58" s="31" t="s">
        <v>78</v>
      </c>
      <c r="Q58" s="32">
        <v>4.8999999999999915</v>
      </c>
      <c r="R58" s="33">
        <f>PERCENTILE(Q$3:Q$41,$T$4/100)</f>
      </c>
      <c r="S58" s="2"/>
      <c r="T58" s="11"/>
      <c r="U58" s="11"/>
      <c r="V58" s="11"/>
      <c r="W58" s="11"/>
    </row>
    <row x14ac:dyDescent="0.25" r="59" customHeight="1" ht="18.75">
      <c r="A59" s="1"/>
      <c r="B59" s="1"/>
      <c r="C59" s="1"/>
      <c r="D59" s="2"/>
      <c r="E59" s="2"/>
      <c r="F59" s="30"/>
      <c r="G59" s="30"/>
      <c r="H59" s="30"/>
      <c r="I59" s="30"/>
      <c r="J59" s="30"/>
      <c r="K59" s="18"/>
      <c r="L59" s="18"/>
      <c r="M59" s="11"/>
      <c r="N59" s="2"/>
      <c r="O59" s="11"/>
      <c r="P59" s="31" t="s">
        <v>79</v>
      </c>
      <c r="Q59" s="32">
        <v>2.799999999999997</v>
      </c>
      <c r="R59" s="33">
        <f>PERCENTILE(Q$3:Q$41,$U$6/100)</f>
      </c>
      <c r="S59" s="2"/>
      <c r="T59" s="11"/>
      <c r="U59" s="11"/>
      <c r="V59" s="11"/>
      <c r="W59" s="11"/>
    </row>
    <row x14ac:dyDescent="0.25" r="60" customHeight="1" ht="18.75">
      <c r="A60" s="1"/>
      <c r="B60" s="1"/>
      <c r="C60" s="1"/>
      <c r="D60" s="2"/>
      <c r="E60" s="2"/>
      <c r="F60" s="30"/>
      <c r="G60" s="30"/>
      <c r="H60" s="30"/>
      <c r="I60" s="30"/>
      <c r="J60" s="30"/>
      <c r="K60" s="18"/>
      <c r="L60" s="18"/>
      <c r="M60" s="11"/>
      <c r="N60" s="2"/>
      <c r="O60" s="11"/>
      <c r="P60" s="2"/>
      <c r="Q60" s="30"/>
      <c r="R60" s="2"/>
      <c r="S60" s="2"/>
      <c r="T60" s="11"/>
      <c r="U60" s="11"/>
      <c r="V60" s="11"/>
      <c r="W60" s="11"/>
    </row>
    <row x14ac:dyDescent="0.25" r="61" customHeight="1" ht="18.75">
      <c r="A61" s="1"/>
      <c r="B61" s="1"/>
      <c r="C61" s="1"/>
      <c r="D61" s="2"/>
      <c r="E61" s="2"/>
      <c r="F61" s="30"/>
      <c r="G61" s="30"/>
      <c r="H61" s="30"/>
      <c r="I61" s="30"/>
      <c r="J61" s="30"/>
      <c r="K61" s="18"/>
      <c r="L61" s="18"/>
      <c r="M61" s="11"/>
      <c r="N61" s="2"/>
      <c r="O61" s="11"/>
      <c r="P61" s="2"/>
      <c r="Q61" s="30"/>
      <c r="R61" s="2"/>
      <c r="S61" s="2"/>
      <c r="T61" s="11"/>
      <c r="U61" s="11"/>
      <c r="V61" s="11"/>
      <c r="W61" s="11"/>
    </row>
    <row x14ac:dyDescent="0.25" r="62" customHeight="1" ht="18.75">
      <c r="A62" s="1"/>
      <c r="B62" s="1"/>
      <c r="C62" s="1"/>
      <c r="D62" s="2"/>
      <c r="E62" s="2"/>
      <c r="F62" s="30"/>
      <c r="G62" s="30"/>
      <c r="H62" s="30"/>
      <c r="I62" s="30"/>
      <c r="J62" s="30"/>
      <c r="K62" s="18"/>
      <c r="L62" s="18"/>
      <c r="M62" s="11"/>
      <c r="N62" s="2"/>
      <c r="O62" s="11"/>
      <c r="P62" s="2"/>
      <c r="Q62" s="30"/>
      <c r="R62" s="2"/>
      <c r="S62" s="2"/>
      <c r="T62" s="11"/>
      <c r="U62" s="11"/>
      <c r="V62" s="11"/>
      <c r="W62" s="11"/>
    </row>
    <row x14ac:dyDescent="0.25" r="63" customHeight="1" ht="18.75">
      <c r="A63" s="1"/>
      <c r="B63" s="1"/>
      <c r="C63" s="1"/>
      <c r="D63" s="2"/>
      <c r="E63" s="2"/>
      <c r="F63" s="30"/>
      <c r="G63" s="30"/>
      <c r="H63" s="30"/>
      <c r="I63" s="30"/>
      <c r="J63" s="30"/>
      <c r="K63" s="18"/>
      <c r="L63" s="18"/>
      <c r="M63" s="11"/>
      <c r="N63" s="2"/>
      <c r="O63" s="11"/>
      <c r="P63" s="2"/>
      <c r="Q63" s="30"/>
      <c r="R63" s="2"/>
      <c r="S63" s="2"/>
      <c r="T63" s="11"/>
      <c r="U63" s="11"/>
      <c r="V63" s="11"/>
      <c r="W63" s="11"/>
    </row>
    <row x14ac:dyDescent="0.25" r="64" customHeight="1" ht="18.75">
      <c r="A64" s="1"/>
      <c r="B64" s="1"/>
      <c r="C64" s="1"/>
      <c r="D64" s="2"/>
      <c r="E64" s="2"/>
      <c r="F64" s="30"/>
      <c r="G64" s="30"/>
      <c r="H64" s="30"/>
      <c r="I64" s="30"/>
      <c r="J64" s="30"/>
      <c r="K64" s="18"/>
      <c r="L64" s="18"/>
      <c r="M64" s="11"/>
      <c r="N64" s="2"/>
      <c r="O64" s="11"/>
      <c r="P64" s="2"/>
      <c r="Q64" s="30"/>
      <c r="R64" s="2"/>
      <c r="S64" s="2"/>
      <c r="T64" s="11"/>
      <c r="U64" s="11"/>
      <c r="V64" s="11"/>
      <c r="W64" s="11"/>
    </row>
    <row x14ac:dyDescent="0.25" r="65" customHeight="1" ht="18.75">
      <c r="A65" s="1"/>
      <c r="B65" s="1"/>
      <c r="C65" s="1"/>
      <c r="D65" s="2"/>
      <c r="E65" s="2"/>
      <c r="F65" s="30"/>
      <c r="G65" s="30"/>
      <c r="H65" s="30"/>
      <c r="I65" s="30"/>
      <c r="J65" s="30"/>
      <c r="K65" s="18"/>
      <c r="L65" s="18"/>
      <c r="M65" s="11"/>
      <c r="N65" s="2"/>
      <c r="O65" s="11"/>
      <c r="P65" s="2"/>
      <c r="Q65" s="30"/>
      <c r="R65" s="2"/>
      <c r="S65" s="2"/>
      <c r="T65" s="11"/>
      <c r="U65" s="11"/>
      <c r="V65" s="11"/>
      <c r="W65" s="11"/>
    </row>
    <row x14ac:dyDescent="0.25" r="66" customHeight="1" ht="18.75">
      <c r="A66" s="1"/>
      <c r="B66" s="1"/>
      <c r="C66" s="1"/>
      <c r="D66" s="2"/>
      <c r="E66" s="2"/>
      <c r="F66" s="30"/>
      <c r="G66" s="30"/>
      <c r="H66" s="30"/>
      <c r="I66" s="30"/>
      <c r="J66" s="30"/>
      <c r="K66" s="18"/>
      <c r="L66" s="18"/>
      <c r="M66" s="11"/>
      <c r="N66" s="2"/>
      <c r="O66" s="11"/>
      <c r="P66" s="2"/>
      <c r="Q66" s="30"/>
      <c r="R66" s="2"/>
      <c r="S66" s="2"/>
      <c r="T66" s="11"/>
      <c r="U66" s="11"/>
      <c r="V66" s="11"/>
      <c r="W66" s="11"/>
    </row>
    <row x14ac:dyDescent="0.25" r="67" customHeight="1" ht="18.75">
      <c r="A67" s="1"/>
      <c r="B67" s="1"/>
      <c r="C67" s="1"/>
      <c r="D67" s="2"/>
      <c r="E67" s="2"/>
      <c r="F67" s="30"/>
      <c r="G67" s="30"/>
      <c r="H67" s="30"/>
      <c r="I67" s="30"/>
      <c r="J67" s="30"/>
      <c r="K67" s="18"/>
      <c r="L67" s="18"/>
      <c r="M67" s="11"/>
      <c r="N67" s="2"/>
      <c r="O67" s="11"/>
      <c r="P67" s="2"/>
      <c r="Q67" s="30"/>
      <c r="R67" s="2"/>
      <c r="S67" s="2"/>
      <c r="T67" s="11"/>
      <c r="U67" s="11"/>
      <c r="V67" s="11"/>
      <c r="W67" s="11"/>
    </row>
    <row x14ac:dyDescent="0.25" r="68" customHeight="1" ht="18.75">
      <c r="A68" s="1"/>
      <c r="B68" s="1"/>
      <c r="C68" s="1"/>
      <c r="D68" s="2"/>
      <c r="E68" s="2"/>
      <c r="F68" s="30"/>
      <c r="G68" s="30"/>
      <c r="H68" s="30"/>
      <c r="I68" s="30"/>
      <c r="J68" s="30"/>
      <c r="K68" s="18"/>
      <c r="L68" s="18"/>
      <c r="M68" s="11"/>
      <c r="N68" s="2"/>
      <c r="O68" s="11"/>
      <c r="P68" s="2"/>
      <c r="Q68" s="30"/>
      <c r="R68" s="2"/>
      <c r="S68" s="2"/>
      <c r="T68" s="11"/>
      <c r="U68" s="11"/>
      <c r="V68" s="11"/>
      <c r="W68" s="11"/>
    </row>
    <row x14ac:dyDescent="0.25" r="69" customHeight="1" ht="18.75">
      <c r="A69" s="1"/>
      <c r="B69" s="1"/>
      <c r="C69" s="1"/>
      <c r="D69" s="2"/>
      <c r="E69" s="2"/>
      <c r="F69" s="30"/>
      <c r="G69" s="30"/>
      <c r="H69" s="30"/>
      <c r="I69" s="30"/>
      <c r="J69" s="30"/>
      <c r="K69" s="18"/>
      <c r="L69" s="18"/>
      <c r="M69" s="11"/>
      <c r="N69" s="2"/>
      <c r="O69" s="11"/>
      <c r="P69" s="2"/>
      <c r="Q69" s="30"/>
      <c r="R69" s="2"/>
      <c r="S69" s="2"/>
      <c r="T69" s="11"/>
      <c r="U69" s="11"/>
      <c r="V69" s="11"/>
      <c r="W69" s="11"/>
    </row>
    <row x14ac:dyDescent="0.25" r="70" customHeight="1" ht="18.75">
      <c r="A70" s="1"/>
      <c r="B70" s="1"/>
      <c r="C70" s="1"/>
      <c r="D70" s="2"/>
      <c r="E70" s="2"/>
      <c r="F70" s="30"/>
      <c r="G70" s="30"/>
      <c r="H70" s="30"/>
      <c r="I70" s="30"/>
      <c r="J70" s="30"/>
      <c r="K70" s="18"/>
      <c r="L70" s="18"/>
      <c r="M70" s="11"/>
      <c r="N70" s="2"/>
      <c r="O70" s="11"/>
      <c r="P70" s="2"/>
      <c r="Q70" s="30"/>
      <c r="R70" s="2"/>
      <c r="S70" s="2"/>
      <c r="T70" s="11"/>
      <c r="U70" s="11"/>
      <c r="V70" s="11"/>
      <c r="W70" s="11"/>
    </row>
    <row x14ac:dyDescent="0.25" r="71" customHeight="1" ht="18.75">
      <c r="A71" s="1"/>
      <c r="B71" s="1"/>
      <c r="C71" s="1"/>
      <c r="D71" s="2"/>
      <c r="E71" s="2"/>
      <c r="F71" s="30"/>
      <c r="G71" s="30"/>
      <c r="H71" s="30"/>
      <c r="I71" s="30"/>
      <c r="J71" s="30"/>
      <c r="K71" s="18"/>
      <c r="L71" s="18"/>
      <c r="M71" s="11"/>
      <c r="N71" s="2"/>
      <c r="O71" s="11"/>
      <c r="P71" s="2"/>
      <c r="Q71" s="30"/>
      <c r="R71" s="2"/>
      <c r="S71" s="2"/>
      <c r="T71" s="11"/>
      <c r="U71" s="11"/>
      <c r="V71" s="11"/>
      <c r="W71" s="11"/>
    </row>
    <row x14ac:dyDescent="0.25" r="72" customHeight="1" ht="18.75">
      <c r="A72" s="1"/>
      <c r="B72" s="1"/>
      <c r="C72" s="1"/>
      <c r="D72" s="2"/>
      <c r="E72" s="2"/>
      <c r="F72" s="30"/>
      <c r="G72" s="30"/>
      <c r="H72" s="30"/>
      <c r="I72" s="30"/>
      <c r="J72" s="30"/>
      <c r="K72" s="18"/>
      <c r="L72" s="18"/>
      <c r="M72" s="11"/>
      <c r="N72" s="2"/>
      <c r="O72" s="11"/>
      <c r="P72" s="2"/>
      <c r="Q72" s="30"/>
      <c r="R72" s="2"/>
      <c r="S72" s="2"/>
      <c r="T72" s="11"/>
      <c r="U72" s="11"/>
      <c r="V72" s="11"/>
      <c r="W72" s="11"/>
    </row>
    <row x14ac:dyDescent="0.25" r="73" customHeight="1" ht="18.75">
      <c r="A73" s="1"/>
      <c r="B73" s="1"/>
      <c r="C73" s="1"/>
      <c r="D73" s="2"/>
      <c r="E73" s="2"/>
      <c r="F73" s="30"/>
      <c r="G73" s="30"/>
      <c r="H73" s="30"/>
      <c r="I73" s="30"/>
      <c r="J73" s="30"/>
      <c r="K73" s="18"/>
      <c r="L73" s="18"/>
      <c r="M73" s="11"/>
      <c r="N73" s="2"/>
      <c r="O73" s="11"/>
      <c r="P73" s="2"/>
      <c r="Q73" s="30"/>
      <c r="R73" s="2"/>
      <c r="S73" s="2"/>
      <c r="T73" s="11"/>
      <c r="U73" s="11"/>
      <c r="V73" s="11"/>
      <c r="W73" s="11"/>
    </row>
    <row x14ac:dyDescent="0.25" r="74" customHeight="1" ht="18.75">
      <c r="A74" s="1"/>
      <c r="B74" s="1"/>
      <c r="C74" s="1"/>
      <c r="D74" s="2"/>
      <c r="E74" s="2"/>
      <c r="F74" s="30"/>
      <c r="G74" s="30"/>
      <c r="H74" s="30"/>
      <c r="I74" s="30"/>
      <c r="J74" s="30"/>
      <c r="K74" s="18"/>
      <c r="L74" s="18"/>
      <c r="M74" s="11"/>
      <c r="N74" s="2"/>
      <c r="O74" s="11"/>
      <c r="P74" s="2"/>
      <c r="Q74" s="30"/>
      <c r="R74" s="2"/>
      <c r="S74" s="2"/>
      <c r="T74" s="11"/>
      <c r="U74" s="11"/>
      <c r="V74" s="11"/>
      <c r="W74" s="11"/>
    </row>
    <row x14ac:dyDescent="0.25" r="75" customHeight="1" ht="18.75">
      <c r="A75" s="1"/>
      <c r="B75" s="1"/>
      <c r="C75" s="1"/>
      <c r="D75" s="2"/>
      <c r="E75" s="2"/>
      <c r="F75" s="30"/>
      <c r="G75" s="30"/>
      <c r="H75" s="30"/>
      <c r="I75" s="30"/>
      <c r="J75" s="30"/>
      <c r="K75" s="18"/>
      <c r="L75" s="18"/>
      <c r="M75" s="11"/>
      <c r="N75" s="2"/>
      <c r="O75" s="11"/>
      <c r="P75" s="2"/>
      <c r="Q75" s="30"/>
      <c r="R75" s="2"/>
      <c r="S75" s="2"/>
      <c r="T75" s="11"/>
      <c r="U75" s="11"/>
      <c r="V75" s="11"/>
      <c r="W75" s="11"/>
    </row>
    <row x14ac:dyDescent="0.25" r="76" customHeight="1" ht="18.75">
      <c r="A76" s="1"/>
      <c r="B76" s="1"/>
      <c r="C76" s="1"/>
      <c r="D76" s="2"/>
      <c r="E76" s="2"/>
      <c r="F76" s="30"/>
      <c r="G76" s="30"/>
      <c r="H76" s="30"/>
      <c r="I76" s="30"/>
      <c r="J76" s="30"/>
      <c r="K76" s="18"/>
      <c r="L76" s="18"/>
      <c r="M76" s="11"/>
      <c r="N76" s="2"/>
      <c r="O76" s="11"/>
      <c r="P76" s="2"/>
      <c r="Q76" s="30"/>
      <c r="R76" s="2"/>
      <c r="S76" s="2"/>
      <c r="T76" s="11"/>
      <c r="U76" s="11"/>
      <c r="V76" s="11"/>
      <c r="W76" s="11"/>
    </row>
    <row x14ac:dyDescent="0.25" r="77" customHeight="1" ht="18.75">
      <c r="A77" s="1"/>
      <c r="B77" s="1"/>
      <c r="C77" s="1"/>
      <c r="D77" s="2"/>
      <c r="E77" s="2"/>
      <c r="F77" s="30"/>
      <c r="G77" s="30"/>
      <c r="H77" s="30"/>
      <c r="I77" s="30"/>
      <c r="J77" s="30"/>
      <c r="K77" s="18"/>
      <c r="L77" s="18"/>
      <c r="M77" s="11"/>
      <c r="N77" s="2"/>
      <c r="O77" s="11"/>
      <c r="P77" s="2"/>
      <c r="Q77" s="30"/>
      <c r="R77" s="2"/>
      <c r="S77" s="2"/>
      <c r="T77" s="11"/>
      <c r="U77" s="11"/>
      <c r="V77" s="11"/>
      <c r="W77" s="11"/>
    </row>
    <row x14ac:dyDescent="0.25" r="78" customHeight="1" ht="18.75">
      <c r="A78" s="1"/>
      <c r="B78" s="1"/>
      <c r="C78" s="1"/>
      <c r="D78" s="2"/>
      <c r="E78" s="2"/>
      <c r="F78" s="30"/>
      <c r="G78" s="30"/>
      <c r="H78" s="30"/>
      <c r="I78" s="30"/>
      <c r="J78" s="30"/>
      <c r="K78" s="18"/>
      <c r="L78" s="18"/>
      <c r="M78" s="11"/>
      <c r="N78" s="2"/>
      <c r="O78" s="11"/>
      <c r="P78" s="2"/>
      <c r="Q78" s="30"/>
      <c r="R78" s="2"/>
      <c r="S78" s="2"/>
      <c r="T78" s="11"/>
      <c r="U78" s="11"/>
      <c r="V78" s="11"/>
      <c r="W78" s="11"/>
    </row>
    <row x14ac:dyDescent="0.25" r="79" customHeight="1" ht="18.75">
      <c r="A79" s="1"/>
      <c r="B79" s="1"/>
      <c r="C79" s="1"/>
      <c r="D79" s="2"/>
      <c r="E79" s="2"/>
      <c r="F79" s="30"/>
      <c r="G79" s="30"/>
      <c r="H79" s="30"/>
      <c r="I79" s="30"/>
      <c r="J79" s="30"/>
      <c r="K79" s="18"/>
      <c r="L79" s="18"/>
      <c r="M79" s="11"/>
      <c r="N79" s="2"/>
      <c r="O79" s="11"/>
      <c r="P79" s="2"/>
      <c r="Q79" s="30"/>
      <c r="R79" s="2"/>
      <c r="S79" s="2"/>
      <c r="T79" s="11"/>
      <c r="U79" s="11"/>
      <c r="V79" s="11"/>
      <c r="W79" s="11"/>
    </row>
    <row x14ac:dyDescent="0.25" r="80" customHeight="1" ht="18.75">
      <c r="A80" s="1"/>
      <c r="B80" s="1"/>
      <c r="C80" s="1"/>
      <c r="D80" s="2"/>
      <c r="E80" s="2"/>
      <c r="F80" s="30"/>
      <c r="G80" s="30"/>
      <c r="H80" s="30"/>
      <c r="I80" s="30"/>
      <c r="J80" s="30"/>
      <c r="K80" s="18"/>
      <c r="L80" s="18"/>
      <c r="M80" s="11"/>
      <c r="N80" s="2"/>
      <c r="O80" s="11"/>
      <c r="P80" s="2"/>
      <c r="Q80" s="30"/>
      <c r="R80" s="2"/>
      <c r="S80" s="2"/>
      <c r="T80" s="11"/>
      <c r="U80" s="11"/>
      <c r="V80" s="11"/>
      <c r="W80" s="11"/>
    </row>
    <row x14ac:dyDescent="0.25" r="81" customHeight="1" ht="18.75">
      <c r="A81" s="1"/>
      <c r="B81" s="1"/>
      <c r="C81" s="1"/>
      <c r="D81" s="2"/>
      <c r="E81" s="2"/>
      <c r="F81" s="30"/>
      <c r="G81" s="30"/>
      <c r="H81" s="30"/>
      <c r="I81" s="30"/>
      <c r="J81" s="30"/>
      <c r="K81" s="18"/>
      <c r="L81" s="18"/>
      <c r="M81" s="11"/>
      <c r="N81" s="2"/>
      <c r="O81" s="11"/>
      <c r="P81" s="2"/>
      <c r="Q81" s="30"/>
      <c r="R81" s="2"/>
      <c r="S81" s="2"/>
      <c r="T81" s="11"/>
      <c r="U81" s="11"/>
      <c r="V81" s="11"/>
      <c r="W81" s="11"/>
    </row>
    <row x14ac:dyDescent="0.25" r="82" customHeight="1" ht="18.75">
      <c r="A82" s="1"/>
      <c r="B82" s="1"/>
      <c r="C82" s="1"/>
      <c r="D82" s="2"/>
      <c r="E82" s="2"/>
      <c r="F82" s="30"/>
      <c r="G82" s="30"/>
      <c r="H82" s="30"/>
      <c r="I82" s="30"/>
      <c r="J82" s="30"/>
      <c r="K82" s="18"/>
      <c r="L82" s="18"/>
      <c r="M82" s="11"/>
      <c r="N82" s="2"/>
      <c r="O82" s="11"/>
      <c r="P82" s="2"/>
      <c r="Q82" s="30"/>
      <c r="R82" s="2"/>
      <c r="S82" s="2"/>
      <c r="T82" s="11"/>
      <c r="U82" s="11"/>
      <c r="V82" s="11"/>
      <c r="W82" s="11"/>
    </row>
    <row x14ac:dyDescent="0.25" r="83" customHeight="1" ht="18.75">
      <c r="A83" s="1"/>
      <c r="B83" s="1"/>
      <c r="C83" s="1"/>
      <c r="D83" s="2"/>
      <c r="E83" s="2"/>
      <c r="F83" s="30"/>
      <c r="G83" s="30"/>
      <c r="H83" s="30"/>
      <c r="I83" s="30"/>
      <c r="J83" s="30"/>
      <c r="K83" s="18"/>
      <c r="L83" s="18"/>
      <c r="M83" s="11"/>
      <c r="N83" s="2"/>
      <c r="O83" s="11"/>
      <c r="P83" s="2"/>
      <c r="Q83" s="30"/>
      <c r="R83" s="2"/>
      <c r="S83" s="2"/>
      <c r="T83" s="11"/>
      <c r="U83" s="11"/>
      <c r="V83" s="11"/>
      <c r="W83" s="11"/>
    </row>
    <row x14ac:dyDescent="0.25" r="84" customHeight="1" ht="18.75">
      <c r="A84" s="1"/>
      <c r="B84" s="1"/>
      <c r="C84" s="1"/>
      <c r="D84" s="2"/>
      <c r="E84" s="2"/>
      <c r="F84" s="30"/>
      <c r="G84" s="30"/>
      <c r="H84" s="30"/>
      <c r="I84" s="30"/>
      <c r="J84" s="30"/>
      <c r="K84" s="18"/>
      <c r="L84" s="18"/>
      <c r="M84" s="11"/>
      <c r="N84" s="2"/>
      <c r="O84" s="11"/>
      <c r="P84" s="2"/>
      <c r="Q84" s="30"/>
      <c r="R84" s="2"/>
      <c r="S84" s="2"/>
      <c r="T84" s="11"/>
      <c r="U84" s="11"/>
      <c r="V84" s="11"/>
      <c r="W84" s="11"/>
    </row>
    <row x14ac:dyDescent="0.25" r="85" customHeight="1" ht="18.75">
      <c r="A85" s="1"/>
      <c r="B85" s="1"/>
      <c r="C85" s="1"/>
      <c r="D85" s="2"/>
      <c r="E85" s="2"/>
      <c r="F85" s="30"/>
      <c r="G85" s="30"/>
      <c r="H85" s="30"/>
      <c r="I85" s="30"/>
      <c r="J85" s="30"/>
      <c r="K85" s="18"/>
      <c r="L85" s="18"/>
      <c r="M85" s="11"/>
      <c r="N85" s="2"/>
      <c r="O85" s="11"/>
      <c r="P85" s="2"/>
      <c r="Q85" s="30"/>
      <c r="R85" s="2"/>
      <c r="S85" s="2"/>
      <c r="T85" s="11"/>
      <c r="U85" s="11"/>
      <c r="V85" s="11"/>
      <c r="W85" s="11"/>
    </row>
    <row x14ac:dyDescent="0.25" r="86" customHeight="1" ht="18.75">
      <c r="A86" s="1"/>
      <c r="B86" s="1"/>
      <c r="C86" s="1"/>
      <c r="D86" s="2"/>
      <c r="E86" s="2"/>
      <c r="F86" s="30"/>
      <c r="G86" s="30"/>
      <c r="H86" s="30"/>
      <c r="I86" s="30"/>
      <c r="J86" s="30"/>
      <c r="K86" s="18"/>
      <c r="L86" s="18"/>
      <c r="M86" s="11"/>
      <c r="N86" s="2"/>
      <c r="O86" s="11"/>
      <c r="P86" s="2"/>
      <c r="Q86" s="30"/>
      <c r="R86" s="2"/>
      <c r="S86" s="2"/>
      <c r="T86" s="11"/>
      <c r="U86" s="11"/>
      <c r="V86" s="11"/>
      <c r="W86" s="11"/>
    </row>
    <row x14ac:dyDescent="0.25" r="87" customHeight="1" ht="18.75">
      <c r="A87" s="1"/>
      <c r="B87" s="1"/>
      <c r="C87" s="1"/>
      <c r="D87" s="2"/>
      <c r="E87" s="2"/>
      <c r="F87" s="30"/>
      <c r="G87" s="30"/>
      <c r="H87" s="30"/>
      <c r="I87" s="30"/>
      <c r="J87" s="30"/>
      <c r="K87" s="18"/>
      <c r="L87" s="18"/>
      <c r="M87" s="11"/>
      <c r="N87" s="2"/>
      <c r="O87" s="11"/>
      <c r="P87" s="2"/>
      <c r="Q87" s="30"/>
      <c r="R87" s="2"/>
      <c r="S87" s="2"/>
      <c r="T87" s="11"/>
      <c r="U87" s="11"/>
      <c r="V87" s="11"/>
      <c r="W87" s="11"/>
    </row>
    <row x14ac:dyDescent="0.25" r="88" customHeight="1" ht="18.75">
      <c r="A88" s="1"/>
      <c r="B88" s="1"/>
      <c r="C88" s="1"/>
      <c r="D88" s="2"/>
      <c r="E88" s="2"/>
      <c r="F88" s="30"/>
      <c r="G88" s="30"/>
      <c r="H88" s="30"/>
      <c r="I88" s="30"/>
      <c r="J88" s="30"/>
      <c r="K88" s="18"/>
      <c r="L88" s="18"/>
      <c r="M88" s="11"/>
      <c r="N88" s="2"/>
      <c r="O88" s="11"/>
      <c r="P88" s="2"/>
      <c r="Q88" s="30"/>
      <c r="R88" s="2"/>
      <c r="S88" s="2"/>
      <c r="T88" s="11"/>
      <c r="U88" s="11"/>
      <c r="V88" s="11"/>
      <c r="W88" s="11"/>
    </row>
    <row x14ac:dyDescent="0.25" r="89" customHeight="1" ht="18.75">
      <c r="A89" s="1"/>
      <c r="B89" s="1"/>
      <c r="C89" s="1"/>
      <c r="D89" s="2"/>
      <c r="E89" s="2"/>
      <c r="F89" s="30"/>
      <c r="G89" s="30"/>
      <c r="H89" s="30"/>
      <c r="I89" s="30"/>
      <c r="J89" s="30"/>
      <c r="K89" s="18"/>
      <c r="L89" s="18"/>
      <c r="M89" s="11"/>
      <c r="N89" s="2"/>
      <c r="O89" s="11"/>
      <c r="P89" s="2"/>
      <c r="Q89" s="30"/>
      <c r="R89" s="2"/>
      <c r="S89" s="2"/>
      <c r="T89" s="11"/>
      <c r="U89" s="11"/>
      <c r="V89" s="11"/>
      <c r="W89" s="11"/>
    </row>
    <row x14ac:dyDescent="0.25" r="90" customHeight="1" ht="18.75">
      <c r="A90" s="1"/>
      <c r="B90" s="1"/>
      <c r="C90" s="1"/>
      <c r="D90" s="2"/>
      <c r="E90" s="2"/>
      <c r="F90" s="30"/>
      <c r="G90" s="30"/>
      <c r="H90" s="30"/>
      <c r="I90" s="30"/>
      <c r="J90" s="30"/>
      <c r="K90" s="18"/>
      <c r="L90" s="18"/>
      <c r="M90" s="11"/>
      <c r="N90" s="2"/>
      <c r="O90" s="11"/>
      <c r="P90" s="2"/>
      <c r="Q90" s="30"/>
      <c r="R90" s="2"/>
      <c r="S90" s="2"/>
      <c r="T90" s="11"/>
      <c r="U90" s="11"/>
      <c r="V90" s="11"/>
      <c r="W90" s="11"/>
    </row>
    <row x14ac:dyDescent="0.25" r="91" customHeight="1" ht="18.75">
      <c r="A91" s="1"/>
      <c r="B91" s="1"/>
      <c r="C91" s="1"/>
      <c r="D91" s="2"/>
      <c r="E91" s="2"/>
      <c r="F91" s="30"/>
      <c r="G91" s="30"/>
      <c r="H91" s="30"/>
      <c r="I91" s="30"/>
      <c r="J91" s="30"/>
      <c r="K91" s="18"/>
      <c r="L91" s="18"/>
      <c r="M91" s="11"/>
      <c r="N91" s="2"/>
      <c r="O91" s="11"/>
      <c r="P91" s="2"/>
      <c r="Q91" s="30"/>
      <c r="R91" s="2"/>
      <c r="S91" s="2"/>
      <c r="T91" s="11"/>
      <c r="U91" s="11"/>
      <c r="V91" s="11"/>
      <c r="W91" s="11"/>
    </row>
    <row x14ac:dyDescent="0.25" r="92" customHeight="1" ht="18.75">
      <c r="A92" s="1"/>
      <c r="B92" s="1"/>
      <c r="C92" s="1"/>
      <c r="D92" s="2"/>
      <c r="E92" s="2"/>
      <c r="F92" s="30"/>
      <c r="G92" s="30"/>
      <c r="H92" s="30"/>
      <c r="I92" s="30"/>
      <c r="J92" s="30"/>
      <c r="K92" s="18"/>
      <c r="L92" s="18"/>
      <c r="M92" s="11"/>
      <c r="N92" s="2"/>
      <c r="O92" s="11"/>
      <c r="P92" s="2"/>
      <c r="Q92" s="30"/>
      <c r="R92" s="2"/>
      <c r="S92" s="2"/>
      <c r="T92" s="11"/>
      <c r="U92" s="11"/>
      <c r="V92" s="11"/>
      <c r="W92" s="11"/>
    </row>
    <row x14ac:dyDescent="0.25" r="93" customHeight="1" ht="18.75">
      <c r="A93" s="1"/>
      <c r="B93" s="1"/>
      <c r="C93" s="1"/>
      <c r="D93" s="2"/>
      <c r="E93" s="2"/>
      <c r="F93" s="30"/>
      <c r="G93" s="30"/>
      <c r="H93" s="30"/>
      <c r="I93" s="30"/>
      <c r="J93" s="30"/>
      <c r="K93" s="18"/>
      <c r="L93" s="18"/>
      <c r="M93" s="11"/>
      <c r="N93" s="2"/>
      <c r="O93" s="11"/>
      <c r="P93" s="2"/>
      <c r="Q93" s="30"/>
      <c r="R93" s="2"/>
      <c r="S93" s="2"/>
      <c r="T93" s="11"/>
      <c r="U93" s="11"/>
      <c r="V93" s="11"/>
      <c r="W93" s="11"/>
    </row>
    <row x14ac:dyDescent="0.25" r="94" customHeight="1" ht="18.75">
      <c r="A94" s="1"/>
      <c r="B94" s="1"/>
      <c r="C94" s="1"/>
      <c r="D94" s="2"/>
      <c r="E94" s="2"/>
      <c r="F94" s="30"/>
      <c r="G94" s="30"/>
      <c r="H94" s="30"/>
      <c r="I94" s="30"/>
      <c r="J94" s="30"/>
      <c r="K94" s="18"/>
      <c r="L94" s="18"/>
      <c r="M94" s="11"/>
      <c r="N94" s="2"/>
      <c r="O94" s="11"/>
      <c r="P94" s="2"/>
      <c r="Q94" s="30"/>
      <c r="R94" s="2"/>
      <c r="S94" s="2"/>
      <c r="T94" s="11"/>
      <c r="U94" s="11"/>
      <c r="V94" s="11"/>
      <c r="W94" s="11"/>
    </row>
    <row x14ac:dyDescent="0.25" r="95" customHeight="1" ht="18.75">
      <c r="A95" s="1"/>
      <c r="B95" s="1"/>
      <c r="C95" s="1"/>
      <c r="D95" s="2"/>
      <c r="E95" s="2"/>
      <c r="F95" s="30"/>
      <c r="G95" s="30"/>
      <c r="H95" s="30"/>
      <c r="I95" s="30"/>
      <c r="J95" s="30"/>
      <c r="K95" s="18"/>
      <c r="L95" s="18"/>
      <c r="M95" s="11"/>
      <c r="N95" s="2"/>
      <c r="O95" s="11"/>
      <c r="P95" s="2"/>
      <c r="Q95" s="30"/>
      <c r="R95" s="2"/>
      <c r="S95" s="2"/>
      <c r="T95" s="11"/>
      <c r="U95" s="11"/>
      <c r="V95" s="11"/>
      <c r="W95" s="11"/>
    </row>
    <row x14ac:dyDescent="0.25" r="96" customHeight="1" ht="18.75">
      <c r="A96" s="1"/>
      <c r="B96" s="1"/>
      <c r="C96" s="1"/>
      <c r="D96" s="2"/>
      <c r="E96" s="2"/>
      <c r="F96" s="30"/>
      <c r="G96" s="30"/>
      <c r="H96" s="30"/>
      <c r="I96" s="30"/>
      <c r="J96" s="30"/>
      <c r="K96" s="18"/>
      <c r="L96" s="18"/>
      <c r="M96" s="11"/>
      <c r="N96" s="2"/>
      <c r="O96" s="11"/>
      <c r="P96" s="2"/>
      <c r="Q96" s="30"/>
      <c r="R96" s="2"/>
      <c r="S96" s="2"/>
      <c r="T96" s="11"/>
      <c r="U96" s="11"/>
      <c r="V96" s="11"/>
      <c r="W96" s="11"/>
    </row>
    <row x14ac:dyDescent="0.25" r="97" customHeight="1" ht="18.75">
      <c r="A97" s="1"/>
      <c r="B97" s="1"/>
      <c r="C97" s="1"/>
      <c r="D97" s="2"/>
      <c r="E97" s="2"/>
      <c r="F97" s="30"/>
      <c r="G97" s="30"/>
      <c r="H97" s="30"/>
      <c r="I97" s="30"/>
      <c r="J97" s="30"/>
      <c r="K97" s="18"/>
      <c r="L97" s="18"/>
      <c r="M97" s="11"/>
      <c r="N97" s="2"/>
      <c r="O97" s="11"/>
      <c r="P97" s="2"/>
      <c r="Q97" s="30"/>
      <c r="R97" s="2"/>
      <c r="S97" s="2"/>
      <c r="T97" s="11"/>
      <c r="U97" s="11"/>
      <c r="V97" s="11"/>
      <c r="W97" s="11"/>
    </row>
    <row x14ac:dyDescent="0.25" r="98" customHeight="1" ht="18.75">
      <c r="A98" s="1"/>
      <c r="B98" s="1"/>
      <c r="C98" s="1"/>
      <c r="D98" s="2"/>
      <c r="E98" s="2"/>
      <c r="F98" s="30"/>
      <c r="G98" s="30"/>
      <c r="H98" s="30"/>
      <c r="I98" s="30"/>
      <c r="J98" s="30"/>
      <c r="K98" s="18"/>
      <c r="L98" s="18"/>
      <c r="M98" s="11"/>
      <c r="N98" s="2"/>
      <c r="O98" s="11"/>
      <c r="P98" s="2"/>
      <c r="Q98" s="30"/>
      <c r="R98" s="2"/>
      <c r="S98" s="2"/>
      <c r="T98" s="11"/>
      <c r="U98" s="11"/>
      <c r="V98" s="11"/>
      <c r="W98" s="11"/>
    </row>
    <row x14ac:dyDescent="0.25" r="99" customHeight="1" ht="18.75">
      <c r="A99" s="1"/>
      <c r="B99" s="1"/>
      <c r="C99" s="1"/>
      <c r="D99" s="2"/>
      <c r="E99" s="2"/>
      <c r="F99" s="30"/>
      <c r="G99" s="30"/>
      <c r="H99" s="30"/>
      <c r="I99" s="30"/>
      <c r="J99" s="30"/>
      <c r="K99" s="18"/>
      <c r="L99" s="18"/>
      <c r="M99" s="11"/>
      <c r="N99" s="2"/>
      <c r="O99" s="11"/>
      <c r="P99" s="2"/>
      <c r="Q99" s="30"/>
      <c r="R99" s="2"/>
      <c r="S99" s="2"/>
      <c r="T99" s="11"/>
      <c r="U99" s="11"/>
      <c r="V99" s="11"/>
      <c r="W99" s="11"/>
    </row>
    <row x14ac:dyDescent="0.25" r="100" customHeight="1" ht="18.75">
      <c r="A100" s="1"/>
      <c r="B100" s="1"/>
      <c r="C100" s="1"/>
      <c r="D100" s="2"/>
      <c r="E100" s="2"/>
      <c r="F100" s="30"/>
      <c r="G100" s="30"/>
      <c r="H100" s="30"/>
      <c r="I100" s="30"/>
      <c r="J100" s="30"/>
      <c r="K100" s="18"/>
      <c r="L100" s="18"/>
      <c r="M100" s="11"/>
      <c r="N100" s="2"/>
      <c r="O100" s="11"/>
      <c r="P100" s="2"/>
      <c r="Q100" s="30"/>
      <c r="R100" s="2"/>
      <c r="S100" s="2"/>
      <c r="T100" s="11"/>
      <c r="U100" s="11"/>
      <c r="V100" s="11"/>
      <c r="W100" s="11"/>
    </row>
    <row x14ac:dyDescent="0.25" r="101" customHeight="1" ht="18.75">
      <c r="A101" s="1"/>
      <c r="B101" s="1"/>
      <c r="C101" s="1"/>
      <c r="D101" s="2"/>
      <c r="E101" s="2"/>
      <c r="F101" s="30"/>
      <c r="G101" s="30"/>
      <c r="H101" s="30"/>
      <c r="I101" s="30"/>
      <c r="J101" s="30"/>
      <c r="K101" s="18"/>
      <c r="L101" s="18"/>
      <c r="M101" s="11"/>
      <c r="N101" s="2"/>
      <c r="O101" s="11"/>
      <c r="P101" s="2"/>
      <c r="Q101" s="30"/>
      <c r="R101" s="2"/>
      <c r="S101" s="2"/>
      <c r="T101" s="11"/>
      <c r="U101" s="11"/>
      <c r="V101" s="11"/>
      <c r="W101" s="11"/>
    </row>
    <row x14ac:dyDescent="0.25" r="102" customHeight="1" ht="18.75">
      <c r="A102" s="1"/>
      <c r="B102" s="1"/>
      <c r="C102" s="1"/>
      <c r="D102" s="2"/>
      <c r="E102" s="2"/>
      <c r="F102" s="30"/>
      <c r="G102" s="30"/>
      <c r="H102" s="30"/>
      <c r="I102" s="30"/>
      <c r="J102" s="30"/>
      <c r="K102" s="18"/>
      <c r="L102" s="18"/>
      <c r="M102" s="11"/>
      <c r="N102" s="2"/>
      <c r="O102" s="11"/>
      <c r="P102" s="2"/>
      <c r="Q102" s="30"/>
      <c r="R102" s="2"/>
      <c r="S102" s="2"/>
      <c r="T102" s="11"/>
      <c r="U102" s="11"/>
      <c r="V102" s="11"/>
      <c r="W102" s="11"/>
    </row>
    <row x14ac:dyDescent="0.25" r="103" customHeight="1" ht="18.75">
      <c r="A103" s="1"/>
      <c r="B103" s="1"/>
      <c r="C103" s="1"/>
      <c r="D103" s="2"/>
      <c r="E103" s="2"/>
      <c r="F103" s="30"/>
      <c r="G103" s="30"/>
      <c r="H103" s="30"/>
      <c r="I103" s="30"/>
      <c r="J103" s="30"/>
      <c r="K103" s="18"/>
      <c r="L103" s="18"/>
      <c r="M103" s="11"/>
      <c r="N103" s="2"/>
      <c r="O103" s="11"/>
      <c r="P103" s="2"/>
      <c r="Q103" s="30"/>
      <c r="R103" s="2"/>
      <c r="S103" s="2"/>
      <c r="T103" s="11"/>
      <c r="U103" s="11"/>
      <c r="V103" s="11"/>
      <c r="W103" s="11"/>
    </row>
    <row x14ac:dyDescent="0.25" r="104" customHeight="1" ht="18.75">
      <c r="A104" s="1"/>
      <c r="B104" s="1"/>
      <c r="C104" s="1"/>
      <c r="D104" s="2"/>
      <c r="E104" s="2"/>
      <c r="F104" s="30"/>
      <c r="G104" s="30"/>
      <c r="H104" s="30"/>
      <c r="I104" s="30"/>
      <c r="J104" s="30"/>
      <c r="K104" s="18"/>
      <c r="L104" s="18"/>
      <c r="M104" s="11"/>
      <c r="N104" s="2"/>
      <c r="O104" s="11"/>
      <c r="P104" s="2"/>
      <c r="Q104" s="30"/>
      <c r="R104" s="2"/>
      <c r="S104" s="2"/>
      <c r="T104" s="11"/>
      <c r="U104" s="11"/>
      <c r="V104" s="11"/>
      <c r="W104" s="11"/>
    </row>
    <row x14ac:dyDescent="0.25" r="105" customHeight="1" ht="18.75">
      <c r="A105" s="1"/>
      <c r="B105" s="1"/>
      <c r="C105" s="1"/>
      <c r="D105" s="2"/>
      <c r="E105" s="2"/>
      <c r="F105" s="30"/>
      <c r="G105" s="30"/>
      <c r="H105" s="30"/>
      <c r="I105" s="30"/>
      <c r="J105" s="30"/>
      <c r="K105" s="18"/>
      <c r="L105" s="18"/>
      <c r="M105" s="11"/>
      <c r="N105" s="2"/>
      <c r="O105" s="11"/>
      <c r="P105" s="2"/>
      <c r="Q105" s="30"/>
      <c r="R105" s="2"/>
      <c r="S105" s="2"/>
      <c r="T105" s="11"/>
      <c r="U105" s="11"/>
      <c r="V105" s="11"/>
      <c r="W105" s="11"/>
    </row>
    <row x14ac:dyDescent="0.25" r="106" customHeight="1" ht="18.75">
      <c r="A106" s="1"/>
      <c r="B106" s="1"/>
      <c r="C106" s="1"/>
      <c r="D106" s="2"/>
      <c r="E106" s="2"/>
      <c r="F106" s="30"/>
      <c r="G106" s="30"/>
      <c r="H106" s="30"/>
      <c r="I106" s="30"/>
      <c r="J106" s="30"/>
      <c r="K106" s="18"/>
      <c r="L106" s="18"/>
      <c r="M106" s="11"/>
      <c r="N106" s="2"/>
      <c r="O106" s="11"/>
      <c r="P106" s="2"/>
      <c r="Q106" s="30"/>
      <c r="R106" s="2"/>
      <c r="S106" s="2"/>
      <c r="T106" s="11"/>
      <c r="U106" s="11"/>
      <c r="V106" s="11"/>
      <c r="W106" s="11"/>
    </row>
    <row x14ac:dyDescent="0.25" r="107" customHeight="1" ht="18.75">
      <c r="A107" s="1"/>
      <c r="B107" s="1"/>
      <c r="C107" s="1"/>
      <c r="D107" s="2"/>
      <c r="E107" s="2"/>
      <c r="F107" s="30"/>
      <c r="G107" s="30"/>
      <c r="H107" s="30"/>
      <c r="I107" s="30"/>
      <c r="J107" s="30"/>
      <c r="K107" s="18"/>
      <c r="L107" s="18"/>
      <c r="M107" s="11"/>
      <c r="N107" s="2"/>
      <c r="O107" s="11"/>
      <c r="P107" s="2"/>
      <c r="Q107" s="30"/>
      <c r="R107" s="2"/>
      <c r="S107" s="2"/>
      <c r="T107" s="11"/>
      <c r="U107" s="11"/>
      <c r="V107" s="11"/>
      <c r="W107" s="11"/>
    </row>
    <row x14ac:dyDescent="0.25" r="108" customHeight="1" ht="18.75">
      <c r="A108" s="1"/>
      <c r="B108" s="1"/>
      <c r="C108" s="1"/>
      <c r="D108" s="2"/>
      <c r="E108" s="2"/>
      <c r="F108" s="30"/>
      <c r="G108" s="30"/>
      <c r="H108" s="30"/>
      <c r="I108" s="30"/>
      <c r="J108" s="30"/>
      <c r="K108" s="18"/>
      <c r="L108" s="18"/>
      <c r="M108" s="11"/>
      <c r="N108" s="2"/>
      <c r="O108" s="11"/>
      <c r="P108" s="2"/>
      <c r="Q108" s="30"/>
      <c r="R108" s="2"/>
      <c r="S108" s="2"/>
      <c r="T108" s="11"/>
      <c r="U108" s="11"/>
      <c r="V108" s="11"/>
      <c r="W108" s="11"/>
    </row>
    <row x14ac:dyDescent="0.25" r="109" customHeight="1" ht="18.75">
      <c r="A109" s="1"/>
      <c r="B109" s="1"/>
      <c r="C109" s="1"/>
      <c r="D109" s="2"/>
      <c r="E109" s="2"/>
      <c r="F109" s="30"/>
      <c r="G109" s="30"/>
      <c r="H109" s="30"/>
      <c r="I109" s="30"/>
      <c r="J109" s="30"/>
      <c r="K109" s="18"/>
      <c r="L109" s="18"/>
      <c r="M109" s="11"/>
      <c r="N109" s="2"/>
      <c r="O109" s="11"/>
      <c r="P109" s="2"/>
      <c r="Q109" s="30"/>
      <c r="R109" s="2"/>
      <c r="S109" s="2"/>
      <c r="T109" s="11"/>
      <c r="U109" s="11"/>
      <c r="V109" s="11"/>
      <c r="W109" s="11"/>
    </row>
    <row x14ac:dyDescent="0.25" r="110" customHeight="1" ht="18.75">
      <c r="A110" s="1"/>
      <c r="B110" s="1"/>
      <c r="C110" s="1"/>
      <c r="D110" s="2"/>
      <c r="E110" s="2"/>
      <c r="F110" s="30"/>
      <c r="G110" s="30"/>
      <c r="H110" s="30"/>
      <c r="I110" s="30"/>
      <c r="J110" s="30"/>
      <c r="K110" s="18"/>
      <c r="L110" s="18"/>
      <c r="M110" s="11"/>
      <c r="N110" s="2"/>
      <c r="O110" s="11"/>
      <c r="P110" s="2"/>
      <c r="Q110" s="30"/>
      <c r="R110" s="2"/>
      <c r="S110" s="2"/>
      <c r="T110" s="11"/>
      <c r="U110" s="11"/>
      <c r="V110" s="11"/>
      <c r="W110" s="11"/>
    </row>
    <row x14ac:dyDescent="0.25" r="111" customHeight="1" ht="18.75">
      <c r="A111" s="1"/>
      <c r="B111" s="1"/>
      <c r="C111" s="1"/>
      <c r="D111" s="2"/>
      <c r="E111" s="2"/>
      <c r="F111" s="30"/>
      <c r="G111" s="30"/>
      <c r="H111" s="30"/>
      <c r="I111" s="30"/>
      <c r="J111" s="30"/>
      <c r="K111" s="18"/>
      <c r="L111" s="18"/>
      <c r="M111" s="11"/>
      <c r="N111" s="2"/>
      <c r="O111" s="11"/>
      <c r="P111" s="2"/>
      <c r="Q111" s="30"/>
      <c r="R111" s="2"/>
      <c r="S111" s="2"/>
      <c r="T111" s="11"/>
      <c r="U111" s="11"/>
      <c r="V111" s="11"/>
      <c r="W111" s="11"/>
    </row>
    <row x14ac:dyDescent="0.25" r="112" customHeight="1" ht="18.75">
      <c r="A112" s="1"/>
      <c r="B112" s="1"/>
      <c r="C112" s="1"/>
      <c r="D112" s="2"/>
      <c r="E112" s="2"/>
      <c r="F112" s="30"/>
      <c r="G112" s="30"/>
      <c r="H112" s="30"/>
      <c r="I112" s="30"/>
      <c r="J112" s="30"/>
      <c r="K112" s="18"/>
      <c r="L112" s="18"/>
      <c r="M112" s="11"/>
      <c r="N112" s="2"/>
      <c r="O112" s="11"/>
      <c r="P112" s="2"/>
      <c r="Q112" s="30"/>
      <c r="R112" s="2"/>
      <c r="S112" s="2"/>
      <c r="T112" s="11"/>
      <c r="U112" s="11"/>
      <c r="V112" s="11"/>
      <c r="W112" s="11"/>
    </row>
    <row x14ac:dyDescent="0.25" r="113" customHeight="1" ht="18.75">
      <c r="A113" s="1"/>
      <c r="B113" s="1"/>
      <c r="C113" s="1"/>
      <c r="D113" s="2"/>
      <c r="E113" s="2"/>
      <c r="F113" s="30"/>
      <c r="G113" s="30"/>
      <c r="H113" s="30"/>
      <c r="I113" s="30"/>
      <c r="J113" s="30"/>
      <c r="K113" s="18"/>
      <c r="L113" s="18"/>
      <c r="M113" s="11"/>
      <c r="N113" s="2"/>
      <c r="O113" s="11"/>
      <c r="P113" s="2"/>
      <c r="Q113" s="30"/>
      <c r="R113" s="2"/>
      <c r="S113" s="2"/>
      <c r="T113" s="11"/>
      <c r="U113" s="11"/>
      <c r="V113" s="11"/>
      <c r="W113" s="11"/>
    </row>
    <row x14ac:dyDescent="0.25" r="114" customHeight="1" ht="18.75">
      <c r="A114" s="1"/>
      <c r="B114" s="1"/>
      <c r="C114" s="1"/>
      <c r="D114" s="2"/>
      <c r="E114" s="2"/>
      <c r="F114" s="30"/>
      <c r="G114" s="30"/>
      <c r="H114" s="30"/>
      <c r="I114" s="30"/>
      <c r="J114" s="30"/>
      <c r="K114" s="18"/>
      <c r="L114" s="18"/>
      <c r="M114" s="11"/>
      <c r="N114" s="2"/>
      <c r="O114" s="11"/>
      <c r="P114" s="2"/>
      <c r="Q114" s="30"/>
      <c r="R114" s="2"/>
      <c r="S114" s="2"/>
      <c r="T114" s="11"/>
      <c r="U114" s="11"/>
      <c r="V114" s="11"/>
      <c r="W114" s="11"/>
    </row>
    <row x14ac:dyDescent="0.25" r="115" customHeight="1" ht="18.75">
      <c r="A115" s="1"/>
      <c r="B115" s="1"/>
      <c r="C115" s="1"/>
      <c r="D115" s="2"/>
      <c r="E115" s="2"/>
      <c r="F115" s="30"/>
      <c r="G115" s="30"/>
      <c r="H115" s="30"/>
      <c r="I115" s="30"/>
      <c r="J115" s="30"/>
      <c r="K115" s="18"/>
      <c r="L115" s="18"/>
      <c r="M115" s="11"/>
      <c r="N115" s="2"/>
      <c r="O115" s="11"/>
      <c r="P115" s="2"/>
      <c r="Q115" s="30"/>
      <c r="R115" s="2"/>
      <c r="S115" s="2"/>
      <c r="T115" s="11"/>
      <c r="U115" s="11"/>
      <c r="V115" s="11"/>
      <c r="W115" s="11"/>
    </row>
    <row x14ac:dyDescent="0.25" r="116" customHeight="1" ht="18.75">
      <c r="A116" s="1"/>
      <c r="B116" s="1"/>
      <c r="C116" s="1"/>
      <c r="D116" s="2"/>
      <c r="E116" s="2"/>
      <c r="F116" s="30"/>
      <c r="G116" s="30"/>
      <c r="H116" s="30"/>
      <c r="I116" s="30"/>
      <c r="J116" s="30"/>
      <c r="K116" s="18"/>
      <c r="L116" s="18"/>
      <c r="M116" s="11"/>
      <c r="N116" s="2"/>
      <c r="O116" s="11"/>
      <c r="P116" s="2"/>
      <c r="Q116" s="30"/>
      <c r="R116" s="2"/>
      <c r="S116" s="2"/>
      <c r="T116" s="11"/>
      <c r="U116" s="11"/>
      <c r="V116" s="11"/>
      <c r="W116" s="11"/>
    </row>
    <row x14ac:dyDescent="0.25" r="117" customHeight="1" ht="18.75">
      <c r="A117" s="1"/>
      <c r="B117" s="1"/>
      <c r="C117" s="1"/>
      <c r="D117" s="2"/>
      <c r="E117" s="2"/>
      <c r="F117" s="30"/>
      <c r="G117" s="30"/>
      <c r="H117" s="30"/>
      <c r="I117" s="30"/>
      <c r="J117" s="30"/>
      <c r="K117" s="18"/>
      <c r="L117" s="18"/>
      <c r="M117" s="11"/>
      <c r="N117" s="2"/>
      <c r="O117" s="11"/>
      <c r="P117" s="2"/>
      <c r="Q117" s="30"/>
      <c r="R117" s="2"/>
      <c r="S117" s="2"/>
      <c r="T117" s="11"/>
      <c r="U117" s="11"/>
      <c r="V117" s="11"/>
      <c r="W117" s="11"/>
    </row>
    <row x14ac:dyDescent="0.25" r="118" customHeight="1" ht="18.75">
      <c r="A118" s="1"/>
      <c r="B118" s="1"/>
      <c r="C118" s="1"/>
      <c r="D118" s="2"/>
      <c r="E118" s="2"/>
      <c r="F118" s="30"/>
      <c r="G118" s="30"/>
      <c r="H118" s="30"/>
      <c r="I118" s="30"/>
      <c r="J118" s="30"/>
      <c r="K118" s="18"/>
      <c r="L118" s="18"/>
      <c r="M118" s="11"/>
      <c r="N118" s="2"/>
      <c r="O118" s="11"/>
      <c r="P118" s="2"/>
      <c r="Q118" s="30"/>
      <c r="R118" s="2"/>
      <c r="S118" s="2"/>
      <c r="T118" s="11"/>
      <c r="U118" s="11"/>
      <c r="V118" s="11"/>
      <c r="W118" s="11"/>
    </row>
    <row x14ac:dyDescent="0.25" r="119" customHeight="1" ht="18.75">
      <c r="A119" s="1"/>
      <c r="B119" s="1"/>
      <c r="C119" s="1"/>
      <c r="D119" s="2"/>
      <c r="E119" s="2"/>
      <c r="F119" s="30"/>
      <c r="G119" s="30"/>
      <c r="H119" s="30"/>
      <c r="I119" s="30"/>
      <c r="J119" s="30"/>
      <c r="K119" s="18"/>
      <c r="L119" s="18"/>
      <c r="M119" s="11"/>
      <c r="N119" s="2"/>
      <c r="O119" s="11"/>
      <c r="P119" s="2"/>
      <c r="Q119" s="30"/>
      <c r="R119" s="2"/>
      <c r="S119" s="2"/>
      <c r="T119" s="11"/>
      <c r="U119" s="11"/>
      <c r="V119" s="11"/>
      <c r="W119" s="11"/>
    </row>
    <row x14ac:dyDescent="0.25" r="120" customHeight="1" ht="18.75">
      <c r="A120" s="1"/>
      <c r="B120" s="1"/>
      <c r="C120" s="1"/>
      <c r="D120" s="2"/>
      <c r="E120" s="2"/>
      <c r="F120" s="30"/>
      <c r="G120" s="30"/>
      <c r="H120" s="30"/>
      <c r="I120" s="30"/>
      <c r="J120" s="30"/>
      <c r="K120" s="18"/>
      <c r="L120" s="18"/>
      <c r="M120" s="11"/>
      <c r="N120" s="2"/>
      <c r="O120" s="11"/>
      <c r="P120" s="2"/>
      <c r="Q120" s="30"/>
      <c r="R120" s="2"/>
      <c r="S120" s="2"/>
      <c r="T120" s="11"/>
      <c r="U120" s="11"/>
      <c r="V120" s="11"/>
      <c r="W120" s="11"/>
    </row>
    <row x14ac:dyDescent="0.25" r="121" customHeight="1" ht="18.75">
      <c r="A121" s="1"/>
      <c r="B121" s="1"/>
      <c r="C121" s="1"/>
      <c r="D121" s="2"/>
      <c r="E121" s="2"/>
      <c r="F121" s="30"/>
      <c r="G121" s="30"/>
      <c r="H121" s="30"/>
      <c r="I121" s="30"/>
      <c r="J121" s="30"/>
      <c r="K121" s="18"/>
      <c r="L121" s="18"/>
      <c r="M121" s="11"/>
      <c r="N121" s="2"/>
      <c r="O121" s="11"/>
      <c r="P121" s="2"/>
      <c r="Q121" s="30"/>
      <c r="R121" s="2"/>
      <c r="S121" s="2"/>
      <c r="T121" s="11"/>
      <c r="U121" s="11"/>
      <c r="V121" s="11"/>
      <c r="W121" s="11"/>
    </row>
    <row x14ac:dyDescent="0.25" r="122" customHeight="1" ht="18.75">
      <c r="A122" s="1"/>
      <c r="B122" s="1"/>
      <c r="C122" s="1"/>
      <c r="D122" s="2"/>
      <c r="E122" s="2"/>
      <c r="F122" s="30"/>
      <c r="G122" s="30"/>
      <c r="H122" s="30"/>
      <c r="I122" s="30"/>
      <c r="J122" s="30"/>
      <c r="K122" s="18"/>
      <c r="L122" s="18"/>
      <c r="M122" s="11"/>
      <c r="N122" s="2"/>
      <c r="O122" s="11"/>
      <c r="P122" s="2"/>
      <c r="Q122" s="30"/>
      <c r="R122" s="2"/>
      <c r="S122" s="2"/>
      <c r="T122" s="11"/>
      <c r="U122" s="11"/>
      <c r="V122" s="11"/>
      <c r="W122" s="11"/>
    </row>
    <row x14ac:dyDescent="0.25" r="123" customHeight="1" ht="18.75">
      <c r="A123" s="1"/>
      <c r="B123" s="1"/>
      <c r="C123" s="1"/>
      <c r="D123" s="2"/>
      <c r="E123" s="2"/>
      <c r="F123" s="30"/>
      <c r="G123" s="30"/>
      <c r="H123" s="30"/>
      <c r="I123" s="30"/>
      <c r="J123" s="30"/>
      <c r="K123" s="18"/>
      <c r="L123" s="18"/>
      <c r="M123" s="11"/>
      <c r="N123" s="2"/>
      <c r="O123" s="11"/>
      <c r="P123" s="2"/>
      <c r="Q123" s="30"/>
      <c r="R123" s="2"/>
      <c r="S123" s="2"/>
      <c r="T123" s="11"/>
      <c r="U123" s="11"/>
      <c r="V123" s="11"/>
      <c r="W123" s="11"/>
    </row>
    <row x14ac:dyDescent="0.25" r="124" customHeight="1" ht="18.75">
      <c r="A124" s="1"/>
      <c r="B124" s="1"/>
      <c r="C124" s="1"/>
      <c r="D124" s="2"/>
      <c r="E124" s="2"/>
      <c r="F124" s="30"/>
      <c r="G124" s="30"/>
      <c r="H124" s="30"/>
      <c r="I124" s="30"/>
      <c r="J124" s="30"/>
      <c r="K124" s="18"/>
      <c r="L124" s="18"/>
      <c r="M124" s="11"/>
      <c r="N124" s="2"/>
      <c r="O124" s="11"/>
      <c r="P124" s="2"/>
      <c r="Q124" s="30"/>
      <c r="R124" s="2"/>
      <c r="S124" s="2"/>
      <c r="T124" s="11"/>
      <c r="U124" s="11"/>
      <c r="V124" s="11"/>
      <c r="W124" s="11"/>
    </row>
    <row x14ac:dyDescent="0.25" r="125" customHeight="1" ht="18.75">
      <c r="A125" s="1"/>
      <c r="B125" s="1"/>
      <c r="C125" s="1"/>
      <c r="D125" s="2"/>
      <c r="E125" s="2"/>
      <c r="F125" s="30"/>
      <c r="G125" s="30"/>
      <c r="H125" s="30"/>
      <c r="I125" s="30"/>
      <c r="J125" s="30"/>
      <c r="K125" s="18"/>
      <c r="L125" s="18"/>
      <c r="M125" s="11"/>
      <c r="N125" s="2"/>
      <c r="O125" s="11"/>
      <c r="P125" s="2"/>
      <c r="Q125" s="30"/>
      <c r="R125" s="2"/>
      <c r="S125" s="2"/>
      <c r="T125" s="11"/>
      <c r="U125" s="11"/>
      <c r="V125" s="11"/>
      <c r="W125" s="11"/>
    </row>
    <row x14ac:dyDescent="0.25" r="126" customHeight="1" ht="18.75">
      <c r="A126" s="1"/>
      <c r="B126" s="1"/>
      <c r="C126" s="1"/>
      <c r="D126" s="2"/>
      <c r="E126" s="2"/>
      <c r="F126" s="30"/>
      <c r="G126" s="30"/>
      <c r="H126" s="30"/>
      <c r="I126" s="30"/>
      <c r="J126" s="30"/>
      <c r="K126" s="18"/>
      <c r="L126" s="18"/>
      <c r="M126" s="11"/>
      <c r="N126" s="2"/>
      <c r="O126" s="11"/>
      <c r="P126" s="2"/>
      <c r="Q126" s="30"/>
      <c r="R126" s="2"/>
      <c r="S126" s="2"/>
      <c r="T126" s="11"/>
      <c r="U126" s="11"/>
      <c r="V126" s="11"/>
      <c r="W126" s="11"/>
    </row>
    <row x14ac:dyDescent="0.25" r="127" customHeight="1" ht="18.75">
      <c r="A127" s="1"/>
      <c r="B127" s="1"/>
      <c r="C127" s="1"/>
      <c r="D127" s="2"/>
      <c r="E127" s="2"/>
      <c r="F127" s="30"/>
      <c r="G127" s="30"/>
      <c r="H127" s="30"/>
      <c r="I127" s="30"/>
      <c r="J127" s="30"/>
      <c r="K127" s="18"/>
      <c r="L127" s="18"/>
      <c r="M127" s="11"/>
      <c r="N127" s="2"/>
      <c r="O127" s="11"/>
      <c r="P127" s="2"/>
      <c r="Q127" s="30"/>
      <c r="R127" s="2"/>
      <c r="S127" s="2"/>
      <c r="T127" s="11"/>
      <c r="U127" s="11"/>
      <c r="V127" s="11"/>
      <c r="W127" s="11"/>
    </row>
    <row x14ac:dyDescent="0.25" r="128" customHeight="1" ht="18.75">
      <c r="A128" s="1"/>
      <c r="B128" s="1"/>
      <c r="C128" s="1"/>
      <c r="D128" s="2"/>
      <c r="E128" s="2"/>
      <c r="F128" s="30"/>
      <c r="G128" s="30"/>
      <c r="H128" s="30"/>
      <c r="I128" s="30"/>
      <c r="J128" s="30"/>
      <c r="K128" s="18"/>
      <c r="L128" s="18"/>
      <c r="M128" s="11"/>
      <c r="N128" s="2"/>
      <c r="O128" s="11"/>
      <c r="P128" s="2"/>
      <c r="Q128" s="30"/>
      <c r="R128" s="2"/>
      <c r="S128" s="2"/>
      <c r="T128" s="11"/>
      <c r="U128" s="11"/>
      <c r="V128" s="11"/>
      <c r="W128" s="11"/>
    </row>
    <row x14ac:dyDescent="0.25" r="129" customHeight="1" ht="18.75">
      <c r="A129" s="1"/>
      <c r="B129" s="1"/>
      <c r="C129" s="1"/>
      <c r="D129" s="2"/>
      <c r="E129" s="2"/>
      <c r="F129" s="30"/>
      <c r="G129" s="30"/>
      <c r="H129" s="30"/>
      <c r="I129" s="30"/>
      <c r="J129" s="30"/>
      <c r="K129" s="18"/>
      <c r="L129" s="18"/>
      <c r="M129" s="11"/>
      <c r="N129" s="2"/>
      <c r="O129" s="11"/>
      <c r="P129" s="2"/>
      <c r="Q129" s="30"/>
      <c r="R129" s="2"/>
      <c r="S129" s="2"/>
      <c r="T129" s="11"/>
      <c r="U129" s="11"/>
      <c r="V129" s="11"/>
      <c r="W129" s="11"/>
    </row>
    <row x14ac:dyDescent="0.25" r="130" customHeight="1" ht="18.75">
      <c r="A130" s="1"/>
      <c r="B130" s="1"/>
      <c r="C130" s="1"/>
      <c r="D130" s="2"/>
      <c r="E130" s="2"/>
      <c r="F130" s="30"/>
      <c r="G130" s="30"/>
      <c r="H130" s="30"/>
      <c r="I130" s="30"/>
      <c r="J130" s="30"/>
      <c r="K130" s="18"/>
      <c r="L130" s="18"/>
      <c r="M130" s="11"/>
      <c r="N130" s="2"/>
      <c r="O130" s="11"/>
      <c r="P130" s="2"/>
      <c r="Q130" s="30"/>
      <c r="R130" s="2"/>
      <c r="S130" s="2"/>
      <c r="T130" s="11"/>
      <c r="U130" s="11"/>
      <c r="V130" s="11"/>
      <c r="W130" s="11"/>
    </row>
    <row x14ac:dyDescent="0.25" r="131" customHeight="1" ht="18.75">
      <c r="A131" s="1"/>
      <c r="B131" s="1"/>
      <c r="C131" s="1"/>
      <c r="D131" s="2"/>
      <c r="E131" s="2"/>
      <c r="F131" s="30"/>
      <c r="G131" s="30"/>
      <c r="H131" s="30"/>
      <c r="I131" s="30"/>
      <c r="J131" s="30"/>
      <c r="K131" s="18"/>
      <c r="L131" s="18"/>
      <c r="M131" s="11"/>
      <c r="N131" s="2"/>
      <c r="O131" s="11"/>
      <c r="P131" s="2"/>
      <c r="Q131" s="30"/>
      <c r="R131" s="2"/>
      <c r="S131" s="2"/>
      <c r="T131" s="11"/>
      <c r="U131" s="11"/>
      <c r="V131" s="11"/>
      <c r="W131" s="11"/>
    </row>
    <row x14ac:dyDescent="0.25" r="132" customHeight="1" ht="18.75">
      <c r="A132" s="1"/>
      <c r="B132" s="1"/>
      <c r="C132" s="1"/>
      <c r="D132" s="2"/>
      <c r="E132" s="2"/>
      <c r="F132" s="30"/>
      <c r="G132" s="30"/>
      <c r="H132" s="30"/>
      <c r="I132" s="30"/>
      <c r="J132" s="30"/>
      <c r="K132" s="18"/>
      <c r="L132" s="18"/>
      <c r="M132" s="11"/>
      <c r="N132" s="2"/>
      <c r="O132" s="11"/>
      <c r="P132" s="2"/>
      <c r="Q132" s="30"/>
      <c r="R132" s="2"/>
      <c r="S132" s="2"/>
      <c r="T132" s="11"/>
      <c r="U132" s="11"/>
      <c r="V132" s="11"/>
      <c r="W132" s="11"/>
    </row>
    <row x14ac:dyDescent="0.25" r="133" customHeight="1" ht="18.75">
      <c r="A133" s="1"/>
      <c r="B133" s="1"/>
      <c r="C133" s="1"/>
      <c r="D133" s="2"/>
      <c r="E133" s="2"/>
      <c r="F133" s="30"/>
      <c r="G133" s="30"/>
      <c r="H133" s="30"/>
      <c r="I133" s="30"/>
      <c r="J133" s="30"/>
      <c r="K133" s="18"/>
      <c r="L133" s="18"/>
      <c r="M133" s="11"/>
      <c r="N133" s="2"/>
      <c r="O133" s="11"/>
      <c r="P133" s="2"/>
      <c r="Q133" s="30"/>
      <c r="R133" s="2"/>
      <c r="S133" s="2"/>
      <c r="T133" s="11"/>
      <c r="U133" s="11"/>
      <c r="V133" s="11"/>
      <c r="W133" s="11"/>
    </row>
    <row x14ac:dyDescent="0.25" r="134" customHeight="1" ht="18.75">
      <c r="A134" s="1"/>
      <c r="B134" s="1"/>
      <c r="C134" s="1"/>
      <c r="D134" s="2"/>
      <c r="E134" s="2"/>
      <c r="F134" s="30"/>
      <c r="G134" s="30"/>
      <c r="H134" s="30"/>
      <c r="I134" s="30"/>
      <c r="J134" s="30"/>
      <c r="K134" s="18"/>
      <c r="L134" s="18"/>
      <c r="M134" s="11"/>
      <c r="N134" s="2"/>
      <c r="O134" s="11"/>
      <c r="P134" s="2"/>
      <c r="Q134" s="30"/>
      <c r="R134" s="2"/>
      <c r="S134" s="2"/>
      <c r="T134" s="11"/>
      <c r="U134" s="11"/>
      <c r="V134" s="11"/>
      <c r="W134" s="11"/>
    </row>
    <row x14ac:dyDescent="0.25" r="135" customHeight="1" ht="18.75">
      <c r="A135" s="1"/>
      <c r="B135" s="1"/>
      <c r="C135" s="1"/>
      <c r="D135" s="2"/>
      <c r="E135" s="2"/>
      <c r="F135" s="30"/>
      <c r="G135" s="30"/>
      <c r="H135" s="30"/>
      <c r="I135" s="30"/>
      <c r="J135" s="30"/>
      <c r="K135" s="18"/>
      <c r="L135" s="18"/>
      <c r="M135" s="11"/>
      <c r="N135" s="2"/>
      <c r="O135" s="11"/>
      <c r="P135" s="2"/>
      <c r="Q135" s="30"/>
      <c r="R135" s="2"/>
      <c r="S135" s="2"/>
      <c r="T135" s="11"/>
      <c r="U135" s="11"/>
      <c r="V135" s="11"/>
      <c r="W135" s="11"/>
    </row>
    <row x14ac:dyDescent="0.25" r="136" customHeight="1" ht="18.75">
      <c r="A136" s="1"/>
      <c r="B136" s="1"/>
      <c r="C136" s="1"/>
      <c r="D136" s="2"/>
      <c r="E136" s="2"/>
      <c r="F136" s="30"/>
      <c r="G136" s="30"/>
      <c r="H136" s="30"/>
      <c r="I136" s="30"/>
      <c r="J136" s="30"/>
      <c r="K136" s="18"/>
      <c r="L136" s="18"/>
      <c r="M136" s="11"/>
      <c r="N136" s="2"/>
      <c r="O136" s="11"/>
      <c r="P136" s="2"/>
      <c r="Q136" s="30"/>
      <c r="R136" s="2"/>
      <c r="S136" s="2"/>
      <c r="T136" s="11"/>
      <c r="U136" s="11"/>
      <c r="V136" s="11"/>
      <c r="W136" s="11"/>
    </row>
    <row x14ac:dyDescent="0.25" r="137" customHeight="1" ht="18.75">
      <c r="A137" s="1"/>
      <c r="B137" s="1"/>
      <c r="C137" s="1"/>
      <c r="D137" s="2"/>
      <c r="E137" s="2"/>
      <c r="F137" s="30"/>
      <c r="G137" s="30"/>
      <c r="H137" s="30"/>
      <c r="I137" s="30"/>
      <c r="J137" s="30"/>
      <c r="K137" s="18"/>
      <c r="L137" s="18"/>
      <c r="M137" s="11"/>
      <c r="N137" s="2"/>
      <c r="O137" s="11"/>
      <c r="P137" s="2"/>
      <c r="Q137" s="30"/>
      <c r="R137" s="2"/>
      <c r="S137" s="2"/>
      <c r="T137" s="11"/>
      <c r="U137" s="11"/>
      <c r="V137" s="11"/>
      <c r="W137" s="11"/>
    </row>
    <row x14ac:dyDescent="0.25" r="138" customHeight="1" ht="18.75">
      <c r="A138" s="1"/>
      <c r="B138" s="1"/>
      <c r="C138" s="1"/>
      <c r="D138" s="2"/>
      <c r="E138" s="2"/>
      <c r="F138" s="30"/>
      <c r="G138" s="30"/>
      <c r="H138" s="30"/>
      <c r="I138" s="30"/>
      <c r="J138" s="30"/>
      <c r="K138" s="18"/>
      <c r="L138" s="18"/>
      <c r="M138" s="11"/>
      <c r="N138" s="2"/>
      <c r="O138" s="11"/>
      <c r="P138" s="2"/>
      <c r="Q138" s="30"/>
      <c r="R138" s="2"/>
      <c r="S138" s="2"/>
      <c r="T138" s="11"/>
      <c r="U138" s="11"/>
      <c r="V138" s="11"/>
      <c r="W138" s="11"/>
    </row>
    <row x14ac:dyDescent="0.25" r="139" customHeight="1" ht="18.75">
      <c r="A139" s="1"/>
      <c r="B139" s="1"/>
      <c r="C139" s="1"/>
      <c r="D139" s="2"/>
      <c r="E139" s="2"/>
      <c r="F139" s="30"/>
      <c r="G139" s="30"/>
      <c r="H139" s="30"/>
      <c r="I139" s="30"/>
      <c r="J139" s="30"/>
      <c r="K139" s="18"/>
      <c r="L139" s="18"/>
      <c r="M139" s="11"/>
      <c r="N139" s="2"/>
      <c r="O139" s="11"/>
      <c r="P139" s="2"/>
      <c r="Q139" s="30"/>
      <c r="R139" s="2"/>
      <c r="S139" s="2"/>
      <c r="T139" s="11"/>
      <c r="U139" s="11"/>
      <c r="V139" s="11"/>
      <c r="W139" s="11"/>
    </row>
    <row x14ac:dyDescent="0.25" r="140" customHeight="1" ht="18.75">
      <c r="A140" s="1"/>
      <c r="B140" s="1"/>
      <c r="C140" s="1"/>
      <c r="D140" s="2"/>
      <c r="E140" s="2"/>
      <c r="F140" s="30"/>
      <c r="G140" s="30"/>
      <c r="H140" s="30"/>
      <c r="I140" s="30"/>
      <c r="J140" s="30"/>
      <c r="K140" s="18"/>
      <c r="L140" s="18"/>
      <c r="M140" s="11"/>
      <c r="N140" s="2"/>
      <c r="O140" s="11"/>
      <c r="P140" s="2"/>
      <c r="Q140" s="30"/>
      <c r="R140" s="2"/>
      <c r="S140" s="2"/>
      <c r="T140" s="11"/>
      <c r="U140" s="11"/>
      <c r="V140" s="11"/>
      <c r="W140" s="11"/>
    </row>
    <row x14ac:dyDescent="0.25" r="141" customHeight="1" ht="18.75">
      <c r="A141" s="1"/>
      <c r="B141" s="1"/>
      <c r="C141" s="1"/>
      <c r="D141" s="2"/>
      <c r="E141" s="2"/>
      <c r="F141" s="30"/>
      <c r="G141" s="30"/>
      <c r="H141" s="30"/>
      <c r="I141" s="30"/>
      <c r="J141" s="30"/>
      <c r="K141" s="18"/>
      <c r="L141" s="18"/>
      <c r="M141" s="11"/>
      <c r="N141" s="2"/>
      <c r="O141" s="11"/>
      <c r="P141" s="2"/>
      <c r="Q141" s="30"/>
      <c r="R141" s="2"/>
      <c r="S141" s="2"/>
      <c r="T141" s="11"/>
      <c r="U141" s="11"/>
      <c r="V141" s="11"/>
      <c r="W141" s="11"/>
    </row>
    <row x14ac:dyDescent="0.25" r="142" customHeight="1" ht="18.75">
      <c r="A142" s="1"/>
      <c r="B142" s="1"/>
      <c r="C142" s="1"/>
      <c r="D142" s="2"/>
      <c r="E142" s="2"/>
      <c r="F142" s="30"/>
      <c r="G142" s="30"/>
      <c r="H142" s="30"/>
      <c r="I142" s="30"/>
      <c r="J142" s="30"/>
      <c r="K142" s="18"/>
      <c r="L142" s="18"/>
      <c r="M142" s="11"/>
      <c r="N142" s="2"/>
      <c r="O142" s="11"/>
      <c r="P142" s="2"/>
      <c r="Q142" s="30"/>
      <c r="R142" s="2"/>
      <c r="S142" s="2"/>
      <c r="T142" s="11"/>
      <c r="U142" s="11"/>
      <c r="V142" s="11"/>
      <c r="W142" s="11"/>
    </row>
    <row x14ac:dyDescent="0.25" r="143" customHeight="1" ht="18.75">
      <c r="A143" s="1"/>
      <c r="B143" s="1"/>
      <c r="C143" s="1"/>
      <c r="D143" s="2"/>
      <c r="E143" s="2"/>
      <c r="F143" s="30"/>
      <c r="G143" s="30"/>
      <c r="H143" s="30"/>
      <c r="I143" s="30"/>
      <c r="J143" s="30"/>
      <c r="K143" s="18"/>
      <c r="L143" s="18"/>
      <c r="M143" s="11"/>
      <c r="N143" s="2"/>
      <c r="O143" s="11"/>
      <c r="P143" s="2"/>
      <c r="Q143" s="30"/>
      <c r="R143" s="2"/>
      <c r="S143" s="2"/>
      <c r="T143" s="11"/>
      <c r="U143" s="11"/>
      <c r="V143" s="11"/>
      <c r="W143" s="11"/>
    </row>
    <row x14ac:dyDescent="0.25" r="144" customHeight="1" ht="18.75">
      <c r="A144" s="1"/>
      <c r="B144" s="1"/>
      <c r="C144" s="1"/>
      <c r="D144" s="2"/>
      <c r="E144" s="2"/>
      <c r="F144" s="30"/>
      <c r="G144" s="30"/>
      <c r="H144" s="30"/>
      <c r="I144" s="30"/>
      <c r="J144" s="30"/>
      <c r="K144" s="18"/>
      <c r="L144" s="18"/>
      <c r="M144" s="11"/>
      <c r="N144" s="2"/>
      <c r="O144" s="11"/>
      <c r="P144" s="2"/>
      <c r="Q144" s="30"/>
      <c r="R144" s="2"/>
      <c r="S144" s="2"/>
      <c r="T144" s="11"/>
      <c r="U144" s="11"/>
      <c r="V144" s="11"/>
      <c r="W144" s="11"/>
    </row>
    <row x14ac:dyDescent="0.25" r="145" customHeight="1" ht="18.75">
      <c r="A145" s="1"/>
      <c r="B145" s="1"/>
      <c r="C145" s="1"/>
      <c r="D145" s="2"/>
      <c r="E145" s="2"/>
      <c r="F145" s="30"/>
      <c r="G145" s="30"/>
      <c r="H145" s="30"/>
      <c r="I145" s="30"/>
      <c r="J145" s="30"/>
      <c r="K145" s="18"/>
      <c r="L145" s="18"/>
      <c r="M145" s="11"/>
      <c r="N145" s="2"/>
      <c r="O145" s="11"/>
      <c r="P145" s="2"/>
      <c r="Q145" s="30"/>
      <c r="R145" s="2"/>
      <c r="S145" s="2"/>
      <c r="T145" s="11"/>
      <c r="U145" s="11"/>
      <c r="V145" s="11"/>
      <c r="W145" s="11"/>
    </row>
    <row x14ac:dyDescent="0.25" r="146" customHeight="1" ht="18.75">
      <c r="A146" s="1"/>
      <c r="B146" s="1"/>
      <c r="C146" s="1"/>
      <c r="D146" s="2"/>
      <c r="E146" s="2"/>
      <c r="F146" s="30"/>
      <c r="G146" s="30"/>
      <c r="H146" s="30"/>
      <c r="I146" s="30"/>
      <c r="J146" s="30"/>
      <c r="K146" s="18"/>
      <c r="L146" s="18"/>
      <c r="M146" s="11"/>
      <c r="N146" s="2"/>
      <c r="O146" s="11"/>
      <c r="P146" s="2"/>
      <c r="Q146" s="30"/>
      <c r="R146" s="2"/>
      <c r="S146" s="2"/>
      <c r="T146" s="11"/>
      <c r="U146" s="11"/>
      <c r="V146" s="11"/>
      <c r="W146" s="11"/>
    </row>
    <row x14ac:dyDescent="0.25" r="147" customHeight="1" ht="18.75">
      <c r="A147" s="1"/>
      <c r="B147" s="1"/>
      <c r="C147" s="1"/>
      <c r="D147" s="2"/>
      <c r="E147" s="2"/>
      <c r="F147" s="30"/>
      <c r="G147" s="30"/>
      <c r="H147" s="30"/>
      <c r="I147" s="30"/>
      <c r="J147" s="30"/>
      <c r="K147" s="18"/>
      <c r="L147" s="18"/>
      <c r="M147" s="11"/>
      <c r="N147" s="2"/>
      <c r="O147" s="11"/>
      <c r="P147" s="2"/>
      <c r="Q147" s="30"/>
      <c r="R147" s="2"/>
      <c r="S147" s="2"/>
      <c r="T147" s="11"/>
      <c r="U147" s="11"/>
      <c r="V147" s="11"/>
      <c r="W147" s="11"/>
    </row>
    <row x14ac:dyDescent="0.25" r="148" customHeight="1" ht="18.75">
      <c r="A148" s="1"/>
      <c r="B148" s="1"/>
      <c r="C148" s="1"/>
      <c r="D148" s="2"/>
      <c r="E148" s="2"/>
      <c r="F148" s="30"/>
      <c r="G148" s="30"/>
      <c r="H148" s="30"/>
      <c r="I148" s="30"/>
      <c r="J148" s="30"/>
      <c r="K148" s="18"/>
      <c r="L148" s="18"/>
      <c r="M148" s="11"/>
      <c r="N148" s="2"/>
      <c r="O148" s="11"/>
      <c r="P148" s="2"/>
      <c r="Q148" s="30"/>
      <c r="R148" s="2"/>
      <c r="S148" s="2"/>
      <c r="T148" s="11"/>
      <c r="U148" s="11"/>
      <c r="V148" s="11"/>
      <c r="W148" s="11"/>
    </row>
    <row x14ac:dyDescent="0.25" r="149" customHeight="1" ht="18.75">
      <c r="A149" s="1"/>
      <c r="B149" s="1"/>
      <c r="C149" s="1"/>
      <c r="D149" s="2"/>
      <c r="E149" s="2"/>
      <c r="F149" s="30"/>
      <c r="G149" s="30"/>
      <c r="H149" s="30"/>
      <c r="I149" s="30"/>
      <c r="J149" s="30"/>
      <c r="K149" s="18"/>
      <c r="L149" s="18"/>
      <c r="M149" s="11"/>
      <c r="N149" s="2"/>
      <c r="O149" s="11"/>
      <c r="P149" s="2"/>
      <c r="Q149" s="30"/>
      <c r="R149" s="2"/>
      <c r="S149" s="2"/>
      <c r="T149" s="11"/>
      <c r="U149" s="11"/>
      <c r="V149" s="11"/>
      <c r="W149" s="11"/>
    </row>
    <row x14ac:dyDescent="0.25" r="150" customHeight="1" ht="18.75">
      <c r="A150" s="1"/>
      <c r="B150" s="1"/>
      <c r="C150" s="1"/>
      <c r="D150" s="2"/>
      <c r="E150" s="2"/>
      <c r="F150" s="30"/>
      <c r="G150" s="30"/>
      <c r="H150" s="30"/>
      <c r="I150" s="30"/>
      <c r="J150" s="30"/>
      <c r="K150" s="18"/>
      <c r="L150" s="18"/>
      <c r="M150" s="11"/>
      <c r="N150" s="2"/>
      <c r="O150" s="11"/>
      <c r="P150" s="2"/>
      <c r="Q150" s="30"/>
      <c r="R150" s="2"/>
      <c r="S150" s="2"/>
      <c r="T150" s="11"/>
      <c r="U150" s="11"/>
      <c r="V150" s="11"/>
      <c r="W150" s="11"/>
    </row>
    <row x14ac:dyDescent="0.25" r="151" customHeight="1" ht="18.75">
      <c r="A151" s="1"/>
      <c r="B151" s="1"/>
      <c r="C151" s="1"/>
      <c r="D151" s="2"/>
      <c r="E151" s="2"/>
      <c r="F151" s="30"/>
      <c r="G151" s="30"/>
      <c r="H151" s="30"/>
      <c r="I151" s="30"/>
      <c r="J151" s="30"/>
      <c r="K151" s="18"/>
      <c r="L151" s="18"/>
      <c r="M151" s="11"/>
      <c r="N151" s="2"/>
      <c r="O151" s="11"/>
      <c r="P151" s="2"/>
      <c r="Q151" s="30"/>
      <c r="R151" s="2"/>
      <c r="S151" s="2"/>
      <c r="T151" s="11"/>
      <c r="U151" s="11"/>
      <c r="V151" s="11"/>
      <c r="W151" s="11"/>
    </row>
    <row x14ac:dyDescent="0.25" r="152" customHeight="1" ht="18.75">
      <c r="A152" s="1"/>
      <c r="B152" s="1"/>
      <c r="C152" s="1"/>
      <c r="D152" s="2"/>
      <c r="E152" s="2"/>
      <c r="F152" s="30"/>
      <c r="G152" s="30"/>
      <c r="H152" s="30"/>
      <c r="I152" s="30"/>
      <c r="J152" s="30"/>
      <c r="K152" s="18"/>
      <c r="L152" s="18"/>
      <c r="M152" s="11"/>
      <c r="N152" s="2"/>
      <c r="O152" s="11"/>
      <c r="P152" s="2"/>
      <c r="Q152" s="30"/>
      <c r="R152" s="2"/>
      <c r="S152" s="2"/>
      <c r="T152" s="11"/>
      <c r="U152" s="11"/>
      <c r="V152" s="11"/>
      <c r="W152" s="11"/>
    </row>
    <row x14ac:dyDescent="0.25" r="153" customHeight="1" ht="18.75">
      <c r="A153" s="1"/>
      <c r="B153" s="1"/>
      <c r="C153" s="1"/>
      <c r="D153" s="2"/>
      <c r="E153" s="2"/>
      <c r="F153" s="30"/>
      <c r="G153" s="30"/>
      <c r="H153" s="30"/>
      <c r="I153" s="30"/>
      <c r="J153" s="30"/>
      <c r="K153" s="18"/>
      <c r="L153" s="18"/>
      <c r="M153" s="11"/>
      <c r="N153" s="2"/>
      <c r="O153" s="11"/>
      <c r="P153" s="2"/>
      <c r="Q153" s="30"/>
      <c r="R153" s="2"/>
      <c r="S153" s="2"/>
      <c r="T153" s="11"/>
      <c r="U153" s="11"/>
      <c r="V153" s="11"/>
      <c r="W153" s="11"/>
    </row>
    <row x14ac:dyDescent="0.25" r="154" customHeight="1" ht="18.75">
      <c r="A154" s="1"/>
      <c r="B154" s="1"/>
      <c r="C154" s="1"/>
      <c r="D154" s="2"/>
      <c r="E154" s="2"/>
      <c r="F154" s="30"/>
      <c r="G154" s="30"/>
      <c r="H154" s="30"/>
      <c r="I154" s="30"/>
      <c r="J154" s="30"/>
      <c r="K154" s="18"/>
      <c r="L154" s="18"/>
      <c r="M154" s="11"/>
      <c r="N154" s="2"/>
      <c r="O154" s="11"/>
      <c r="P154" s="2"/>
      <c r="Q154" s="30"/>
      <c r="R154" s="2"/>
      <c r="S154" s="2"/>
      <c r="T154" s="11"/>
      <c r="U154" s="11"/>
      <c r="V154" s="11"/>
      <c r="W154" s="11"/>
    </row>
    <row x14ac:dyDescent="0.25" r="155" customHeight="1" ht="18.75">
      <c r="A155" s="1"/>
      <c r="B155" s="1"/>
      <c r="C155" s="1"/>
      <c r="D155" s="2"/>
      <c r="E155" s="2"/>
      <c r="F155" s="30"/>
      <c r="G155" s="30"/>
      <c r="H155" s="30"/>
      <c r="I155" s="30"/>
      <c r="J155" s="30"/>
      <c r="K155" s="18"/>
      <c r="L155" s="18"/>
      <c r="M155" s="11"/>
      <c r="N155" s="2"/>
      <c r="O155" s="11"/>
      <c r="P155" s="2"/>
      <c r="Q155" s="30"/>
      <c r="R155" s="2"/>
      <c r="S155" s="2"/>
      <c r="T155" s="11"/>
      <c r="U155" s="11"/>
      <c r="V155" s="11"/>
      <c r="W155" s="11"/>
    </row>
    <row x14ac:dyDescent="0.25" r="156" customHeight="1" ht="18.75">
      <c r="A156" s="1"/>
      <c r="B156" s="1"/>
      <c r="C156" s="1"/>
      <c r="D156" s="2"/>
      <c r="E156" s="2"/>
      <c r="F156" s="30"/>
      <c r="G156" s="30"/>
      <c r="H156" s="30"/>
      <c r="I156" s="30"/>
      <c r="J156" s="30"/>
      <c r="K156" s="18"/>
      <c r="L156" s="18"/>
      <c r="M156" s="11"/>
      <c r="N156" s="2"/>
      <c r="O156" s="11"/>
      <c r="P156" s="2"/>
      <c r="Q156" s="30"/>
      <c r="R156" s="2"/>
      <c r="S156" s="2"/>
      <c r="T156" s="11"/>
      <c r="U156" s="11"/>
      <c r="V156" s="11"/>
      <c r="W156" s="11"/>
    </row>
    <row x14ac:dyDescent="0.25" r="157" customHeight="1" ht="18.75">
      <c r="A157" s="1"/>
      <c r="B157" s="1"/>
      <c r="C157" s="1"/>
      <c r="D157" s="2"/>
      <c r="E157" s="2"/>
      <c r="F157" s="30"/>
      <c r="G157" s="30"/>
      <c r="H157" s="30"/>
      <c r="I157" s="30"/>
      <c r="J157" s="30"/>
      <c r="K157" s="18"/>
      <c r="L157" s="18"/>
      <c r="M157" s="11"/>
      <c r="N157" s="2"/>
      <c r="O157" s="11"/>
      <c r="P157" s="2"/>
      <c r="Q157" s="30"/>
      <c r="R157" s="2"/>
      <c r="S157" s="2"/>
      <c r="T157" s="11"/>
      <c r="U157" s="11"/>
      <c r="V157" s="11"/>
      <c r="W157" s="11"/>
    </row>
    <row x14ac:dyDescent="0.25" r="158" customHeight="1" ht="18.75">
      <c r="A158" s="1"/>
      <c r="B158" s="1"/>
      <c r="C158" s="1"/>
      <c r="D158" s="2"/>
      <c r="E158" s="2"/>
      <c r="F158" s="30"/>
      <c r="G158" s="30"/>
      <c r="H158" s="30"/>
      <c r="I158" s="30"/>
      <c r="J158" s="30"/>
      <c r="K158" s="18"/>
      <c r="L158" s="18"/>
      <c r="M158" s="11"/>
      <c r="N158" s="2"/>
      <c r="O158" s="11"/>
      <c r="P158" s="2"/>
      <c r="Q158" s="30"/>
      <c r="R158" s="2"/>
      <c r="S158" s="2"/>
      <c r="T158" s="11"/>
      <c r="U158" s="11"/>
      <c r="V158" s="11"/>
      <c r="W158" s="11"/>
    </row>
    <row x14ac:dyDescent="0.25" r="159" customHeight="1" ht="18.75">
      <c r="A159" s="1"/>
      <c r="B159" s="1"/>
      <c r="C159" s="1"/>
      <c r="D159" s="2"/>
      <c r="E159" s="2"/>
      <c r="F159" s="30"/>
      <c r="G159" s="30"/>
      <c r="H159" s="30"/>
      <c r="I159" s="30"/>
      <c r="J159" s="30"/>
      <c r="K159" s="18"/>
      <c r="L159" s="18"/>
      <c r="M159" s="11"/>
      <c r="N159" s="2"/>
      <c r="O159" s="11"/>
      <c r="P159" s="2"/>
      <c r="Q159" s="30"/>
      <c r="R159" s="2"/>
      <c r="S159" s="2"/>
      <c r="T159" s="11"/>
      <c r="U159" s="11"/>
      <c r="V159" s="11"/>
      <c r="W159" s="11"/>
    </row>
    <row x14ac:dyDescent="0.25" r="160" customHeight="1" ht="18.75">
      <c r="A160" s="1"/>
      <c r="B160" s="1"/>
      <c r="C160" s="1"/>
      <c r="D160" s="2"/>
      <c r="E160" s="2"/>
      <c r="F160" s="30"/>
      <c r="G160" s="30"/>
      <c r="H160" s="30"/>
      <c r="I160" s="30"/>
      <c r="J160" s="30"/>
      <c r="K160" s="18"/>
      <c r="L160" s="18"/>
      <c r="M160" s="11"/>
      <c r="N160" s="2"/>
      <c r="O160" s="11"/>
      <c r="P160" s="2"/>
      <c r="Q160" s="30"/>
      <c r="R160" s="2"/>
      <c r="S160" s="2"/>
      <c r="T160" s="11"/>
      <c r="U160" s="11"/>
      <c r="V160" s="11"/>
      <c r="W160" s="11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11</vt:i4>
      </vt:variant>
    </vt:vector>
  </HeadingPairs>
  <TitlesOfParts>
    <vt:vector baseType="lpstr" size="11">
      <vt:lpstr>整理</vt:lpstr>
      <vt:lpstr>國內_乖離率</vt:lpstr>
      <vt:lpstr>國外指數乖離率</vt:lpstr>
      <vt:lpstr>國外_本益比</vt:lpstr>
      <vt:lpstr>國內_本益比</vt:lpstr>
      <vt:lpstr>國內_淨值比</vt:lpstr>
      <vt:lpstr>國內擴充_MACD</vt:lpstr>
      <vt:lpstr>國內擴充_DIF</vt:lpstr>
      <vt:lpstr>國內擴充_ADX</vt:lpstr>
      <vt:lpstr>MSCI世界指數</vt:lpstr>
      <vt:lpstr>全球GDP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2025-11-18T08:32:22.101Z</dcterms:created>
  <dcterms:modified xsi:type="dcterms:W3CDTF">2025-11-18T08:32:22.101Z</dcterms:modified>
</cp:coreProperties>
</file>